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https://crisalyde591.sharepoint.com/sites/TEMPLATEEXERCICE/Documents partages/ANIMATION GENERALE/Scénario/"/>
    </mc:Choice>
  </mc:AlternateContent>
  <xr:revisionPtr revIDLastSave="1950" documentId="13_ncr:1_{7AA16D20-562D-4382-9A56-7DE663D2A667}" xr6:coauthVersionLast="47" xr6:coauthVersionMax="47" xr10:uidLastSave="{93E3B3FF-95E3-4ABC-A495-9FA31F87D8CF}"/>
  <bookViews>
    <workbookView xWindow="-108" yWindow="-108" windowWidth="23256" windowHeight="13896" tabRatio="409" xr2:uid="{00000000-000D-0000-FFFF-FFFF00000000}"/>
  </bookViews>
  <sheets>
    <sheet name="Chronogramme" sheetId="5" r:id="rId1"/>
    <sheet name="ancien chrono" sheetId="1" r:id="rId2"/>
    <sheet name="Applicatifs" sheetId="2" r:id="rId3"/>
    <sheet name="Liste" sheetId="3" state="hidden" r:id="rId4"/>
  </sheets>
  <definedNames>
    <definedName name="_xlnm._FilterDatabase" localSheetId="1" hidden="1">'ancien chrono'!$A$2:$J$201</definedName>
    <definedName name="_xlnm._FilterDatabase" localSheetId="0" hidden="1">Chronogramme!$B$2:$I$111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5" l="1"/>
  <c r="G23" i="5"/>
  <c r="H30" i="5"/>
  <c r="G30" i="5"/>
  <c r="H26" i="5"/>
  <c r="G26" i="5"/>
  <c r="G25" i="5"/>
  <c r="H24" i="5"/>
  <c r="H20" i="5" l="1"/>
  <c r="G20" i="5"/>
  <c r="G6" i="1"/>
  <c r="H6" i="1"/>
  <c r="G7" i="1"/>
  <c r="H7" i="1"/>
  <c r="G8" i="1"/>
  <c r="H8" i="1"/>
  <c r="G9" i="1"/>
  <c r="H9" i="1"/>
  <c r="G10" i="1"/>
  <c r="H10" i="1"/>
  <c r="G14" i="1"/>
  <c r="H14" i="1"/>
  <c r="G15" i="1"/>
  <c r="H15" i="1"/>
  <c r="G16" i="1"/>
  <c r="G17" i="1"/>
  <c r="H17" i="1"/>
  <c r="G18" i="1"/>
  <c r="H18" i="1"/>
  <c r="G19" i="1"/>
  <c r="H20" i="1"/>
  <c r="G27" i="1"/>
  <c r="H27" i="1"/>
  <c r="G30" i="1"/>
  <c r="H30" i="1"/>
  <c r="G24" i="5"/>
  <c r="H4" i="5"/>
  <c r="G4" i="5"/>
  <c r="H162" i="1"/>
  <c r="H161" i="1"/>
  <c r="G126" i="1"/>
  <c r="G125" i="1"/>
  <c r="H100" i="1"/>
  <c r="G100" i="1"/>
  <c r="G99" i="1"/>
  <c r="H95" i="1"/>
  <c r="G95" i="1"/>
  <c r="H85" i="1"/>
  <c r="G85" i="1"/>
  <c r="G78" i="1"/>
  <c r="H65" i="1"/>
  <c r="G65" i="1"/>
  <c r="H61" i="1"/>
  <c r="G61" i="1"/>
  <c r="G60" i="1"/>
  <c r="H51" i="1"/>
  <c r="G51" i="1"/>
  <c r="H44" i="1"/>
  <c r="H43" i="1"/>
  <c r="H42" i="1"/>
  <c r="G42" i="1"/>
  <c r="H32" i="1"/>
  <c r="G3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tc={42BDD358-77C2-4A18-8CB8-F76C550C01CE}</author>
    <author>tc={B0B35A57-B7FB-4AB1-BB1A-7C9A4E5390BA}</author>
    <author>tc={3591ACBB-3A6B-4642-952E-C7926C097BC0}</author>
    <author>tc={00E3E8F4-3FDE-472B-B530-DE734E075540}</author>
    <author>tc={3A73AF12-3E7A-4763-8C0F-3B392B0CBF8D}</author>
    <author>tc={26D3E3EF-C05B-4FF7-9270-13BAF96A78D4}</author>
    <author>tc={015AB170-E24A-48F5-AAC2-EC82977C0FE4}</author>
    <author>tc={9CD86C1B-594F-4ED8-B14F-061F13A283B2}</author>
    <author>tc={CBC82330-82F1-4513-AE76-1451C7AFC5CA}</author>
    <author>tc={9F634B61-C999-4B5D-8E94-1DCD2708BAFA}</author>
    <author>tc={F3DD2795-CC0F-425A-AB6C-7B20F87BF5BE}</author>
  </authors>
  <commentList>
    <comment ref="H58" authorId="0" shapeId="0" xr:uid="{42BDD358-77C2-4A18-8CB8-F76C550C01C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Attention, le CODIS est au CHU donc il est de fait prévenu! Il partage la même salle que le CRAA du SAMU.</t>
      </text>
    </comment>
    <comment ref="E65" authorId="1" shapeId="0" xr:uid="{B0B35A57-B7FB-4AB1-BB1A-7C9A4E5390B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à remplacer par permanence cabinet ministre intérieur</t>
      </text>
    </comment>
    <comment ref="E67" authorId="2" shapeId="0" xr:uid="{3591ACBB-3A6B-4642-952E-C7926C097BC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Pareil, c'est la permanence du cabinet du ministre de l'intérieur</t>
      </text>
    </comment>
    <comment ref="H70" authorId="3" shapeId="0" xr:uid="{00E3E8F4-3FDE-472B-B530-DE734E07554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J'ai ajouté le bout de phrase en rouge pour appuyer la cohérence de la demande</t>
      </text>
    </comment>
    <comment ref="H72" authorId="4" shapeId="0" xr:uid="{3A73AF12-3E7A-4763-8C0F-3B392B0CBF8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 préfecture renverrait certainement vers l'ARS, donc pour plus de fluidité, la prison informe la pref des difficultés mais précise que c'est en cours par l'ARS. c'est un ATCR (A Titre de Compte-Rendu) comme on dit.</t>
      </text>
    </comment>
    <comment ref="F73" authorId="5" shapeId="0" xr:uid="{26D3E3EF-C05B-4FF7-9270-13BAF96A78D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va vers qui celui là?</t>
      </text>
    </comment>
    <comment ref="H74" authorId="6" shapeId="0" xr:uid="{015AB170-E24A-48F5-AAC2-EC82977C0FE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Pour mémoire, le CRRA 15 est colocalisé avec le CODIS, même pièce, numéro différent (15 et 18), logiciels différents.</t>
      </text>
    </comment>
    <comment ref="H95" authorId="7" shapeId="0" xr:uid="{9CD86C1B-594F-4ED8-B14F-061F13A283B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 pref ne fera pas de retour, c'est l'ARS, par contre, elle prendra l'info que ça se degrade et que le fonctionnement général déconne....</t>
      </text>
    </comment>
    <comment ref="E104" authorId="8" shapeId="0" xr:uid="{CBC82330-82F1-4513-AE76-1451C7AFC5C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Permanence du cabinet du ministre</t>
      </text>
    </comment>
    <comment ref="H104" authorId="9" shapeId="0" xr:uid="{9F634B61-C999-4B5D-8E94-1DCD2708BAF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Déjà 45 minutes c'est insurmontable (sauf en exercice) alors 20 minutes, c'est pas crédible... Ou alors le gars va inventer les chiffres...</t>
      </text>
    </comment>
    <comment ref="H105" authorId="10" shapeId="0" xr:uid="{F3DD2795-CC0F-425A-AB6C-7B20F87BF5B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Le Préfet reçoit ce matin, les acteurs du BTP qui menacent de bloquer l'île, proposition de passer des agriculteurs à BTP pour plus de réalisme.</t>
      </text>
    </comment>
  </commentList>
</comments>
</file>

<file path=xl/sharedStrings.xml><?xml version="1.0" encoding="utf-8"?>
<sst xmlns="http://schemas.openxmlformats.org/spreadsheetml/2006/main" count="1924" uniqueCount="765">
  <si>
    <t>Etat</t>
  </si>
  <si>
    <t>N°</t>
  </si>
  <si>
    <t>Type de stimuli</t>
  </si>
  <si>
    <t>Personnage</t>
  </si>
  <si>
    <t>Destinataire</t>
  </si>
  <si>
    <t>Objet</t>
  </si>
  <si>
    <t>Corps</t>
  </si>
  <si>
    <t>Modalité</t>
  </si>
  <si>
    <t>Tango 1 - biomed attaqué CHU et CHOR + problèmes réseau CHU</t>
  </si>
  <si>
    <t>✅</t>
  </si>
  <si>
    <t>T1-1</t>
  </si>
  <si>
    <t>Structurant</t>
  </si>
  <si>
    <t>Chef de service cardiologie</t>
  </si>
  <si>
    <t>CCD CHU</t>
  </si>
  <si>
    <t>Appel</t>
  </si>
  <si>
    <t>T1-2</t>
  </si>
  <si>
    <t>Responsable imagerie</t>
  </si>
  <si>
    <t>Ralentissement PACS</t>
  </si>
  <si>
    <t>Bonjour, je vous appelle parce qu'il semblerait qu'il y ait un ralentissement du PACS. On a de plus en plus de mal à pouvoir consulter les résultats d'imagerie, c'est vraiment contraignant. A ce rythme là, on devra bientôt se déplacer pour les consulter directement sur les appareils d'imagerie. On perd un temps fou !</t>
  </si>
  <si>
    <t>T1-3</t>
  </si>
  <si>
    <t>Infirmière</t>
  </si>
  <si>
    <t>CCD CHOR</t>
  </si>
  <si>
    <t>Panne Laboratoire</t>
  </si>
  <si>
    <t>T1-4</t>
  </si>
  <si>
    <t>Accueil</t>
  </si>
  <si>
    <t>Pop up Windows suspectes</t>
  </si>
  <si>
    <t xml:space="preserve">Bonjour, on arrête pas d'avoir des fenêtres qui s'ouvrent sans arrêt sur les postes avec des messages en anglais étranges. On dirait que l'ordinateur est hanté !! </t>
  </si>
  <si>
    <t>T1-5</t>
  </si>
  <si>
    <t>Cadre de santé</t>
  </si>
  <si>
    <t>T1-6</t>
  </si>
  <si>
    <t>Responsable RH</t>
  </si>
  <si>
    <t>T1-7</t>
  </si>
  <si>
    <t>Technicien informatique</t>
  </si>
  <si>
    <t>Bonjour, j'ai constaté que des messages de service Windows suspects s'affichent sur les écrans de nombreux postes dans les services.</t>
  </si>
  <si>
    <t>T1-8</t>
  </si>
  <si>
    <t>CCOPS CHOR</t>
  </si>
  <si>
    <t>T1-9</t>
  </si>
  <si>
    <t>ADVENS (PRIS)</t>
  </si>
  <si>
    <t>CCOPS CHU</t>
  </si>
  <si>
    <t>Le SOC EDR (opéré par ADVENS en métropole) remonte des alertes au CHU</t>
  </si>
  <si>
    <t>Objet : EXERCICE EXERCICE EXERCICE - Alerte SOC EDR - Activité suspecte détectée
Bonjour,
L'EDR a détecté une activité suspecte sur plusieurs systèmes. Il semble qu'un processus Windows légitime ait été lancé et ait établi des connexions réseau avec une adresse IP externe. Nous poursuivons les investigations.
Cordialement,
ADVENS</t>
  </si>
  <si>
    <t>E-mail</t>
  </si>
  <si>
    <t>T1-10</t>
  </si>
  <si>
    <t>Saturant</t>
  </si>
  <si>
    <t>Service juridique</t>
  </si>
  <si>
    <t>Fichier qui ne s'ouvre pas au service juridique</t>
  </si>
  <si>
    <t>Bonsoir, j'ai besoin d'accéder à mon rapport d'investigation de la semaine dernière, mais sa lecture est impossible depuis mon PC. Le Procureur donne suite au dépôt de plainte d'une interne en cardiologie et j'ai besoin d'y accéder d'ici demain matin.</t>
  </si>
  <si>
    <t>T1-11</t>
  </si>
  <si>
    <t>Chef de service des urgences</t>
  </si>
  <si>
    <t>Ralentissements postes de travail</t>
  </si>
  <si>
    <t>Bonjour, les PC sont de plus en plus lents. On essaie de les redémarrer mais c'est vraiment laborieux. Que se passe-t-il ?</t>
  </si>
  <si>
    <t>T1-12</t>
  </si>
  <si>
    <t>Médecin</t>
  </si>
  <si>
    <t>Perte accès au PACS</t>
  </si>
  <si>
    <t>Bonjour,
Je vous appelle parce que nous n'arrivons plus à accéder aux images du PACS.  Impossible d'accéder à l'historique des images du dossier, ça charge en boucle…</t>
  </si>
  <si>
    <t>T1-13</t>
  </si>
  <si>
    <t>T1-14</t>
  </si>
  <si>
    <t>Perte accès calendrier Outlook</t>
  </si>
  <si>
    <t xml:space="preserve">Bonjour, j'ai essayé d'accéder au calendrier Outlook mais impossible de le consulter. Même problème sur les différents PC du service, comment peut-on y accéder ? </t>
  </si>
  <si>
    <t>T1-15</t>
  </si>
  <si>
    <t>Responsable laboratoire</t>
  </si>
  <si>
    <t xml:space="preserve">Robot du laboratoire en panne 
</t>
  </si>
  <si>
    <t>Bonjour, on a une panne au niveau des laboratoires de biologie. Les étiquettes ne sortent pas, nous sommes passés en mode dégradé. Nous prenons du retard, nous tentons tout de même de transmettre les résultats les plus urgents</t>
  </si>
  <si>
    <t>T1-16</t>
  </si>
  <si>
    <t>T1-17</t>
  </si>
  <si>
    <t>Secrétaire médicale</t>
  </si>
  <si>
    <t>T1-18</t>
  </si>
  <si>
    <t>Chef de service réanimation</t>
  </si>
  <si>
    <t>Perte du monitoring</t>
  </si>
  <si>
    <t>Bonjour, je viens de m'apercevoir que les paramètres vitaux de nos patients sont figés sur l'écran de la salle de monitoring depuis un quart d'heure. On est obligés d'aller de chambre en chambre pour les surveiller. Est-ce qu'un technicien peut intervenir en urgence s'il vous plait ?</t>
  </si>
  <si>
    <t>T1-19</t>
  </si>
  <si>
    <t>Responsable maternité</t>
  </si>
  <si>
    <t>Fichier qui ne s'ouvre pas en maternité</t>
  </si>
  <si>
    <t>Bonsoir, j'essaye d'ouvrir un fichier excel depuis mon poste, mais mon PC m'indique que je ne peux pas l'ouvrir. Tout marchait pourtant très bien la dernière fois que je l'ai ouvert. Est-ce que vous pouvez me réinstaller Excel sur le PC ?</t>
  </si>
  <si>
    <t>T1-20</t>
  </si>
  <si>
    <t>Bonjour, on est très inquiet au laboratoire, on vient de voir que le logiciel de gestion de la température ne fonctionnait pas cette nuit. La direction des services technique n'arrive pas a identifier le problème et on a aucun moyen de savoir si les frigos ont été maintenus à la bonne température. Ça pose un gros problème pour les poches sanguines, on ne sait pas quoi faire là.</t>
  </si>
  <si>
    <t>T1-21</t>
  </si>
  <si>
    <t>Responsable pharmacie</t>
  </si>
  <si>
    <t>T1-22</t>
  </si>
  <si>
    <t>T1-23</t>
  </si>
  <si>
    <t>T1-24</t>
  </si>
  <si>
    <t>Les postes informatiques des admissions ne répondent plus</t>
  </si>
  <si>
    <t>Bonjour, je vous contacte en urgence car la GAM ne répond plus sur tous les postes informatiques au niveau du guichet des admissions aux urgences. Nous continuons de traiter les demandes en manuscrit mais ça ne va pas être possible indéfiniment, ça prend beaucoup de temps et nous sommes de plus en plus saturés.</t>
  </si>
  <si>
    <t>T1-25</t>
  </si>
  <si>
    <t>Prestataire biomédical - BioCom</t>
  </si>
  <si>
    <t>CC Biomédicale CHU Sud</t>
  </si>
  <si>
    <t>Alerte compromission SI prestataire biomédical</t>
  </si>
  <si>
    <t>Bonjour,
Nous vous contactons car nous avons constaté des potentiels accès suspects à des données de nos comptes clients en date du 6 janvier. Nos équipes sont pleinement mobilisées sur les investigations. Pour l'heure nous n'avons pas de raison de penser que des accès de maintenance aient pu être compromis. Néanmoins dans un souci de transparence, nous souhaitions vous tenir informés de cette situation et nous vous tiendrons au courant des résultats de nos investigations.</t>
  </si>
  <si>
    <t>T1-26</t>
  </si>
  <si>
    <t>T1-27</t>
  </si>
  <si>
    <t>T1-28</t>
  </si>
  <si>
    <t>Problème remontée PACS</t>
  </si>
  <si>
    <t>Je ne comprends, pas les résultats ne remontent pas dans le DPI alors que le labo m'a dit que les résultats étaient envoyés depuis 1 heure !</t>
  </si>
  <si>
    <t>T1-29</t>
  </si>
  <si>
    <t>Plainte de l'accueil des urgences qui ne reçoivent pas les résultats du laboratoire</t>
  </si>
  <si>
    <t xml:space="preserve">C'est l'accueil des urgences qui vous rappelle, nous n'avons pas les résultats du laboratoire donc c'est assez problématique. Nous nous retrouvons surchargés par les différents problèmes depuis ce matin, il faut à tout prix nous donner des explications et directives. Nous n'arrivons pas à joindre le laboratoire. </t>
  </si>
  <si>
    <t>T1-30</t>
  </si>
  <si>
    <t>Impression non-stop de test d'encre</t>
  </si>
  <si>
    <t>Bonjour, j'ai voulu imprimer le calendrier des gardes administratives en trois exemplaires, mais l'imprimante continue à imprimer des feuilles avec des tests d'encre. J'ai du faire une fausse manipulation. Je l'ai débranchée et ça continue. Vous pouvez passez la voir quand vous avez un moment ? Parce que je ne sais pas comment l'arrêter autrement.</t>
  </si>
  <si>
    <t>T1-31</t>
  </si>
  <si>
    <t>Remontée d'alerte CHOR</t>
  </si>
  <si>
    <t>Bonjour, nous vous remontons une alerte concernant la création de comptes administrateurs et d'élévations de privilège qui semblent coincider avec l'incident en cours au CHU. Les serveurs et postes du CHOR ne sont pas compromis et aucune trace d'exfiltration ou de chiffrement pour le moment. Nous surveillons et continuons d'investiguer.</t>
  </si>
  <si>
    <t>T1-32</t>
  </si>
  <si>
    <t>Chargée de communication</t>
  </si>
  <si>
    <t>Email de phishing déjoué par un agent vigilant</t>
  </si>
  <si>
    <t>Bonjour, j'ai reçu cet email en pièce-jointe, je pense qu'il s'agit d'une tentative de phishing, mieux vaut prévenir les autres !
Bonne journée,</t>
  </si>
  <si>
    <t>T1-33</t>
  </si>
  <si>
    <t>T1-34</t>
  </si>
  <si>
    <t>Chirurgien du service de chirurgie cardiaque et vasculaire ne parvient pas à ouvrir son fichier pour accéder au programme opératoire de la semaine</t>
  </si>
  <si>
    <t>Bonjour, j'essaye depuis un quart d'heure d'ouvrir le fichier pour accéder au programme opératoire. Pourriez-vous m'aider à résoudre le problème ? J'ai pourtant une bonne connexion. En attendant, il me semble qu'une IDE édite le progamme opératoire tous les jours sur support papier. Je vais essayer de retrouver qui c'est.</t>
  </si>
  <si>
    <t>T1-35</t>
  </si>
  <si>
    <t>Problème en réanimation sur Ré@ssist (logiciel réa)</t>
  </si>
  <si>
    <t>Bonjour les équipes de réanimation m'ont contacté : apparement le logiciel Ré@ssist n'est pas accessible, ils ne peuvent plus mettre à jour les données des patients, ils passent en mode dégradé, mais nous avons des patients critiques pour qui nous ne pouvons pas nous permettre de perdre même momentanément des données essentielles à la prise en charge.</t>
  </si>
  <si>
    <t>T1-36</t>
  </si>
  <si>
    <t>Dysfonctionnement Chauffage Ventilation Clim (CVC)</t>
  </si>
  <si>
    <t>Bonjour, la climatisation ne fonctionne plus, vous avez prévu d'envoyer des techniciens ?</t>
  </si>
  <si>
    <t>T1-37</t>
  </si>
  <si>
    <t>Fichier .txt qui apparaît de manière incontrolable</t>
  </si>
  <si>
    <t>Bonsoir, j'ai un bug avec le PC de la pharmacie, au niveau de la zone de préparation. J'ai un document qui n'arrête pas de surgir, même si je le ferme. Est-ce que je peux redémarrer le PC ?</t>
  </si>
  <si>
    <t>T1-38</t>
  </si>
  <si>
    <t>Plainte de plusieurs services qui ne reçoivent pas les résultats du laboratoire</t>
  </si>
  <si>
    <t>C'est le service X qui vous appelle, nous n'avons pas les résultats du laboratoire donc c'est assez problématique, nous nous retrouvons surchargés par les différents problèmes. Il faut à tout prix nous donner des explications et directives. Nous n'arrivons pas à joindre le labo.</t>
  </si>
  <si>
    <t>T1-39</t>
  </si>
  <si>
    <t>C'est le service X qui vous appelle, nous n'avons pas les résultats du laboratoire donc c'est assez problématique, nous nous retrouvons surchargés par les différents problèmes.. il faut à tout prix nous donner des explications et directives. Nous n'arrivons pas à joindre le labo.</t>
  </si>
  <si>
    <t>T1-40</t>
  </si>
  <si>
    <t>T1-41</t>
  </si>
  <si>
    <t>T1-42</t>
  </si>
  <si>
    <t>SMUR</t>
  </si>
  <si>
    <t>Médecin régulateur du SAMU appelle le chef du SAMU : urgence vitale suite à un accident de la route (2 accidentés : père et enfant)</t>
  </si>
  <si>
    <t>Nous avons deux accidentés, père et enfant en urgence vitale suite à un accident grave de la route à Saint-Denis. Véhicule heurté par un camion. Nous sommes en route avec deux accidentés.</t>
  </si>
  <si>
    <t>❌</t>
  </si>
  <si>
    <t>T1-43</t>
  </si>
  <si>
    <t>Aucun équipement ne répond</t>
  </si>
  <si>
    <t>Bonjour, nous ne pouvons plus effectuer d'analyse les robots d'analyse ne répondent plus…</t>
  </si>
  <si>
    <t>T1-44</t>
  </si>
  <si>
    <t>Oncologie</t>
  </si>
  <si>
    <t>Commande urgente de médicaments en chimiothérapie</t>
  </si>
  <si>
    <t>Bonjour, nous avons une commande urgente en chimio à effectuer. Dans quels délais pourriez-vous acheminer les médicaments ?</t>
  </si>
  <si>
    <t>T1-45</t>
  </si>
  <si>
    <t>Stérilisation</t>
  </si>
  <si>
    <t>Demande de dispositifs médicaux suite à de gros retards en stérilisation</t>
  </si>
  <si>
    <t>Bonjour, je vous appelle parce que nous avons besoin de remplacer deux stérilisateurs médicaux qui viennent de tomber en panne. On a essayé de contacter le fournisseur, mais le problème ne pourra être réglé assez rapidement. On en a besoin en urgence. Pourriez-vous nous en acheminer trois (un supplémentaire au cas où). Si oui, dans combien de temps pourriez-vous nous l'achemnier. Merci</t>
  </si>
  <si>
    <t>T1-46</t>
  </si>
  <si>
    <t>Panne logiciels RH</t>
  </si>
  <si>
    <t>Bonjour, je vous contacte pour vous prévenir que notre logiciel de gestion des ressources humaines et de la paie ne sont plus accessibles. Il s'agit des logiciels Orbis Action (gestion des RH) et Orbis calcul (paie). On ne peut pas travailler sans informatique... Que fait-on ? J'ai des agents qui n'ont plus rien à faire, je les renvoie chez eux ?</t>
  </si>
  <si>
    <t>T1-47</t>
  </si>
  <si>
    <t>Chirurgie besoin des résultats</t>
  </si>
  <si>
    <t>Bonjour, 
On a beaucoup de patients qui sortent du bloc actuellement. Nous avons besoin de résultats d'analyse, d'imagerie mais rien ne fonctionne on dirait. Nous n'avons même plus accès au DPI.</t>
  </si>
  <si>
    <t>Tango 2 - Plan de sauvegarde</t>
  </si>
  <si>
    <t>T2-1</t>
  </si>
  <si>
    <t>CERT SANTE</t>
  </si>
  <si>
    <t>Accusé de réception de déclaration d'incident</t>
  </si>
  <si>
    <t>Bonjour,
Nous accusons réception de la déclaration d’incident déposée sur le portail des évènements sanitaires indésirables ce jour par le directeur de votre structure. Nous avons bien noté que vous bénéficiez de l'accompagnement d'ADVENS dans ce contexte.
Suite à l’analyse de votre déclaration, pourriez-vous nous apporter des précisions quant au périmètre concerné par l'attaque? Nous vous demandons de bien vouloir nous tenir informés de l’évolution de la situation et revenons vers vous rapidement pour effectuer de premières investigations.
Cordialement, 
CERT Santé
cyberveille@esante.gouv.fr</t>
  </si>
  <si>
    <t>T2-2</t>
  </si>
  <si>
    <t>CORRUSS</t>
  </si>
  <si>
    <t>ARS</t>
  </si>
  <si>
    <t>Demande de point de situation</t>
  </si>
  <si>
    <r>
      <rPr>
        <b/>
        <sz val="12"/>
        <color rgb="FFC00000"/>
        <rFont val="Calibri"/>
        <family val="2"/>
        <scheme val="minor"/>
      </rPr>
      <t>[Si CORRUSS prévenu par l'ARS]</t>
    </r>
    <r>
      <rPr>
        <sz val="12"/>
        <color theme="1"/>
        <rFont val="Calibri"/>
        <family val="2"/>
        <scheme val="minor"/>
      </rPr>
      <t xml:space="preserve">
Bonjour, ici le centre de veille du CORRUSS nous avons été alerté par le HFDS du ministère qu'une cyberattaque touchait actuellement le CHU de la Réunion.  L'offre de soins territoriale de la Réunion exige la prudence. Nous voudrions que vous nous fassiez un point de situation d'ici trente minutes concernant :
- Le périmètre de l'attaque (CHU ou GHT ?)
- Les impacts potentiels sur l'offre de soins territoriale, la prise en charge et le suivi des patients
- Les mesures que vous comptez mettre en place à l'échelle de l'agence et celles en coordination avec la Préfecture
Je vous propose de me faire ce retour par email et en fonction, je vous recontacterai. </t>
    </r>
  </si>
  <si>
    <t>T2-3</t>
  </si>
  <si>
    <t>SAMU</t>
  </si>
  <si>
    <t>Préfecture</t>
  </si>
  <si>
    <t>Alerte régulation du SAMU et embouteillages</t>
  </si>
  <si>
    <r>
      <rPr>
        <b/>
        <sz val="12"/>
        <color rgb="FFC00000"/>
        <rFont val="Calibri"/>
        <family val="2"/>
        <scheme val="minor"/>
      </rPr>
      <t>[Si transfert de patients vers le CHOR/GHER]</t>
    </r>
    <r>
      <rPr>
        <sz val="12"/>
        <color theme="1"/>
        <rFont val="Calibri"/>
        <family val="2"/>
        <scheme val="minor"/>
      </rPr>
      <t xml:space="preserve">
Bonjour, ici le SAMU, les axes routiers en périphérie et au centre de Saint-Denis sont particulièrement saturés, les voitures sont à l'arrêt, on a vraiment des difficultés à passer pour transférer les patients vers le CHOR (ou GHER). Le temps de transfert, sans compter, les flux entrants habituels, sont doublés, on aurait besoin de l'appui des forces de l'ordre pour sécuriser et faciliter notre passage. L'accident de ce midi en aval du giratoire de Gillot en direction de La Ressource à Sainte-Marie n'arrange rien, il y a des véhicules gravement endommagé (VGE), c'est une situation critique. Nous attendons une intervention et le remorquage des véhicules.</t>
    </r>
  </si>
  <si>
    <t>T2-4</t>
  </si>
  <si>
    <t>Engorgement de la ligne de l'accueil du CHU</t>
  </si>
  <si>
    <r>
      <rPr>
        <b/>
        <strike/>
        <sz val="12"/>
        <color rgb="FFC00000"/>
        <rFont val="Calibri"/>
        <family val="2"/>
        <scheme val="minor"/>
      </rPr>
      <t>[Uniquement si le réseau du CHU n'est pas encore isolé]</t>
    </r>
    <r>
      <rPr>
        <strike/>
        <sz val="12"/>
        <rFont val="Calibri"/>
        <family val="2"/>
        <scheme val="minor"/>
      </rPr>
      <t xml:space="preserve">
Bonjour, je vous appelle de l'accueil nous sommes complètement saturés par les appels de personnes voulant savoir si elles peuvent se rendre à l'hôpital. Il y aurait des informations relayées par les patients sur les réseaux sociaux indiquant que les services du CHU sont dépassés par les événements. La téléphonie de l'hôpital est hors service donc ils passent tous par nous et on risque de rater de vraies urgences.</t>
    </r>
  </si>
  <si>
    <t>T2-5</t>
  </si>
  <si>
    <t>IMAZPRESS</t>
  </si>
  <si>
    <t>Appel journaliste vers la CCH</t>
  </si>
  <si>
    <t>Bonjour, je suis journaliste chez IMAZPRESS, sur les réseaux nous voyons beaucoup de choses passer concernant le CHU, est-ce qu'on peut s'y rendre pour se faire soigner? Quel est le problème ? Certains parlent d'un problème informatique... C'est une cyberattaque? Pourquoi la population n'est au courant de rien ?</t>
  </si>
  <si>
    <t>T2-6</t>
  </si>
  <si>
    <t>ZINFOS 974</t>
  </si>
  <si>
    <t>Appel journaliste vers le service communication</t>
  </si>
  <si>
    <t>Bonjour, je suis journaliste chez ZINFOS 974, sur les réseaux nous voyons beaucoup de choses passer concernant le CHU, est-ce qu'on peut s'y rendre pour se faire soigner? Quel est le problème ? Certains parlent d'un problème informatique... C'est une cyberattaque? Pourquoi la population n'est au courant de rien ?</t>
  </si>
  <si>
    <t>T2-7</t>
  </si>
  <si>
    <t>Officier CODIS 974</t>
  </si>
  <si>
    <t>Remontée d'alerte à la préfecture</t>
  </si>
  <si>
    <r>
      <rPr>
        <b/>
        <strike/>
        <sz val="12"/>
        <color rgb="FFC00000"/>
        <rFont val="Calibri"/>
        <scheme val="minor"/>
      </rPr>
      <t xml:space="preserve">[Si CODIS prévenu par le CHU]
</t>
    </r>
    <r>
      <rPr>
        <strike/>
        <sz val="12"/>
        <color rgb="FF000000"/>
        <rFont val="Calibri"/>
        <scheme val="minor"/>
      </rPr>
      <t>Le CHU de la Réunion vient de nous informer qu'ils subissaient potentiellement une cyberattaque, en prévention, ils nous indiquent qu'ils vont probablement rencontrer des difficultés à prendre en charge le flux habituel de patients au niveau du SAU. Un risque d'engorgement est à anticiper.</t>
    </r>
  </si>
  <si>
    <t>T2-8</t>
  </si>
  <si>
    <t>PC de secours chiffrés</t>
  </si>
  <si>
    <r>
      <rPr>
        <b/>
        <sz val="12"/>
        <color rgb="FFC00000"/>
        <rFont val="Calibri"/>
        <family val="2"/>
        <scheme val="minor"/>
      </rPr>
      <t>[Si PC de secours déployés au CHU]</t>
    </r>
    <r>
      <rPr>
        <sz val="12"/>
        <color theme="1"/>
        <rFont val="Calibri"/>
        <family val="2"/>
        <scheme val="minor"/>
      </rPr>
      <t xml:space="preserve">
Bonjour, 
A la suite du dysfonctionnement DPI nous venons d'allumer le poste de secours et l'écran reste bloqué tout en noir avec une horloge qui tourne.</t>
    </r>
  </si>
  <si>
    <t>T2-9</t>
  </si>
  <si>
    <t>Ne trouve pas le PC de secours</t>
  </si>
  <si>
    <r>
      <rPr>
        <b/>
        <sz val="12"/>
        <color rgb="FFC00000"/>
        <rFont val="Calibri"/>
        <family val="2"/>
        <scheme val="minor"/>
      </rPr>
      <t>[Si PC de secours déployés au CHU]</t>
    </r>
    <r>
      <rPr>
        <sz val="12"/>
        <color theme="1"/>
        <rFont val="Calibri"/>
        <family val="2"/>
        <scheme val="minor"/>
      </rPr>
      <t xml:space="preserve">
Bonjour, 
Je suis infirmière en médecine interne. On nous demande de passer en mode dégradé mais comment on fait ?? Il n'y a pas de PC de secours.</t>
    </r>
  </si>
  <si>
    <t>T2-10</t>
  </si>
  <si>
    <t>Linfo.re</t>
  </si>
  <si>
    <t>Bonjour, je suis journaliste chez Linfo.re, sur les réseaux nous voyons beaucoup de choses passer concernant le CHU, est-ce qu'on peut s'y rendre pour se faire soigner? Quel est le problème ? Certains parlent d'un problème informatique... C'est une cyberattaque? Pourquoi la population n'est au courant de rien ?</t>
  </si>
  <si>
    <t>T2-11</t>
  </si>
  <si>
    <t>Bonjour, ici le SAMU, les axes routiers en périphérie et au centre de Saint-Denis sont particulièrement saturés, les voitures sont à l'arrêt, on a vraiment des difficultés à passer pour transférer les patients vers le CHOR. Le temps de transfert, sans compter, les flux entrants habituels, sont doublés, on aurait besoin de l'appui des forces de l'ordre pour sécuriser et faciliter notre passage.</t>
  </si>
  <si>
    <t>T2-12</t>
  </si>
  <si>
    <t>Bonjour, ici la régulation du SAMU, les axes routiers en périphérie et au centre de Saint-Denis sont particulièrement saturés, les voitures sont à l'arrêt, on a vraiment des difficultés à passer pour transférer les patients vers le CHOR. On a prévenu la Préfecture mais le temps de transfert, sans compter, les flux entrants habituels, sont doublés, on aurait besoin de mobiliser davantage d'ambulances privées et on ne peut pas être sur tous les fronts, on a besoin que vous vous en occupiez.</t>
  </si>
  <si>
    <t>T2-13</t>
  </si>
  <si>
    <t>Médecin syndicaliste du CHU Docteur Genou</t>
  </si>
  <si>
    <t>Inquiétude / colère
(bien cibler la direction de l'ARS)</t>
  </si>
  <si>
    <r>
      <rPr>
        <b/>
        <sz val="12"/>
        <color rgb="FFFF0000"/>
        <rFont val="Calibri"/>
        <scheme val="minor"/>
      </rPr>
      <t xml:space="preserve">[S'assurer que le CHU a communiqué auprès des personnels]
</t>
    </r>
    <r>
      <rPr>
        <sz val="12"/>
        <color rgb="FF000000"/>
        <rFont val="Calibri"/>
        <scheme val="minor"/>
      </rPr>
      <t xml:space="preserve">Bonjour, le CHU a prévenu le personnel qu'une cyberattaque touchait actuellement notre structure, la situation m'inquiète particulièrement : premièrement le système de soins de la Réunion est déjà sous tension permanente, nous ne cessons de tirer la sonnette d'alarme depuis des mois et des mois et deuxièmement, nous n'avons pas comme à Paris une trentaine d'hôpitaux sur lesquels nous pouvons nous reposer. Le minimum serait que le personnel soit informé des mesures que l'ARS va mettre en oeuvre pour garantir la continuité des soins et maintenir un environnement de travail acceptable pour le personnel qui est déjà à bout !!! Maintenir le personnel dans une situation de flou permanent ne fera qu'accentuer la crise, on va avoir besoin de ressources supplémentaires, de matériels et on va peut-être de fermer des services, la communication doit aussi être verticale avec les personnes qui sont sur le terrain !! Le président de la CME doit nous transmettre les retours et nous impliquer réellement. </t>
    </r>
  </si>
  <si>
    <t>T2-14</t>
  </si>
  <si>
    <t>Permanence du cabinet du ministre de l'intérieur</t>
  </si>
  <si>
    <t xml:space="preserve">Demande de point de situation </t>
  </si>
  <si>
    <t>Bonjour, 
C'est la permanence du cabinet du ministre, on m'a demandé de vous contacter pour que vous nous fassiez un point de situation d'ici trente minutes concernant :
- Le périmètre de l'attaque (CHU ou GHT ?)
- Les impacts potentiels sur les enjeux de sécurité civile 
- Les mesures que vous comptez mettre en place en prévention
Je vous propose de me faire ce retour par email et en fonction, je vous recontacterai.</t>
  </si>
  <si>
    <t>T2-15</t>
  </si>
  <si>
    <t>Cabinet santé</t>
  </si>
  <si>
    <t>Demande point de situation</t>
  </si>
  <si>
    <t>Bonjour, le cabinet du ministère de la santé souhaiterait disposer d'un état des lieux de la situation découlant de la cyberattaque du CHU de la Réunion. La situation requiert vigilance et anticipation. Nous voudrions donc connaître d'ici 20 minutes : 
- Les impacts potentiels concernant le système de santé, la protection des population, le maintien de l'ordre 
- Les mesures que vous comptez prendre pour maintenir la situation et celles en anticipation pour éviter une escalade 
L'ensemble des acteurs du territoire doit se mobiliser sur le sujet, je vous propose de me faire ce retour par email. Merci.</t>
  </si>
  <si>
    <t>T2-16</t>
  </si>
  <si>
    <t>Bonjour, le cabinet du Premier ministre souhaiterait disposer d'un état des lieux de la situation découlant de la cyberattaque du CHU de la Réunion. La situation requiert vigilance et anticipation. Nous voudrions donc connaître d'ici 20 minutes : 
- Les impacts potentiels concernant le système de santé, la protection des population, le maintien de l'ordre 
- Les mesures que vous comptez prendre pour maintenir la situation et celles en anticipation pour éviter une escalade 
L'ensemble des acteurs du territoire doit se mobiliser sur le sujet, je vous propose de me faire ce retour par email. Merci.</t>
  </si>
  <si>
    <t>T2-17</t>
  </si>
  <si>
    <t>PC sécurité</t>
  </si>
  <si>
    <t xml:space="preserve">Afflux d'usagers à l'accueil </t>
  </si>
  <si>
    <t>Bonjour, c'est le chef de la sécurité du site Nord du CHU, on est confronté à un afflux d'usagers massif. Ce sont des familles, des proches ou même des curieux qui se rendent à l'accueil pour savoir ce qu'il se passe, certains demandent à ce que les patients puissent sortir. En termes d'effectifs, ca va commencer à être compliqué, on aurait besoin de renforcer le dispositif de sécurité.</t>
  </si>
  <si>
    <t>T2-18</t>
  </si>
  <si>
    <t>Réorientation du flux entrant de patients aux urgences</t>
  </si>
  <si>
    <r>
      <rPr>
        <b/>
        <sz val="12"/>
        <color rgb="FFC00000"/>
        <rFont val="Calibri"/>
        <family val="2"/>
        <scheme val="minor"/>
      </rPr>
      <t>[Uniquement si l'ARS n'appelle pas d'elle même le SAMU et que délestage validé par l'ARS]</t>
    </r>
    <r>
      <rPr>
        <sz val="12"/>
        <color theme="1"/>
        <rFont val="Calibri"/>
        <family val="2"/>
        <scheme val="minor"/>
      </rPr>
      <t xml:space="preserve">
Bonjour, ici le Coordinateur en assistance de régulation médicale du SAMU, on a pris connaissance d'une demande de délestage des urgences de la part du CHU, comment voulez-vous que l'on procède pour la réorientation des patients ?</t>
    </r>
  </si>
  <si>
    <t>T2-19</t>
  </si>
  <si>
    <t>Anticipation des besoins d'évacuation</t>
  </si>
  <si>
    <r>
      <t xml:space="preserve">[Appeler uniquement si l'ARS n'informe pas d'elle même la Préfecture]
</t>
    </r>
    <r>
      <rPr>
        <strike/>
        <sz val="12"/>
        <color rgb="FF000000"/>
        <rFont val="Calibri"/>
        <scheme val="minor"/>
      </rPr>
      <t>Le CHU nous prévient qu'ils vont délester leur service d'urgences, nous devons réorienter le flux vers les établissements de repli. L'ARS doit revenir vers nous pour valider le schéma de réorientation mais il nous faut d'ores et déjà anticiper les besoins d'évacuation</t>
    </r>
    <r>
      <rPr>
        <strike/>
        <sz val="12"/>
        <color rgb="FFFF0000"/>
        <rFont val="Calibri"/>
        <scheme val="minor"/>
      </rPr>
      <t xml:space="preserve"> avec l'appui d'autres services si possible</t>
    </r>
    <r>
      <rPr>
        <strike/>
        <sz val="12"/>
        <color rgb="FF000000"/>
        <rFont val="Calibri"/>
        <scheme val="minor"/>
      </rPr>
      <t xml:space="preserve">. </t>
    </r>
  </si>
  <si>
    <t>T2-20</t>
  </si>
  <si>
    <t>Centre pénitentier de Saint-Denis - Directeur de la prison</t>
  </si>
  <si>
    <t>Unité sanitaire en milieu pénitentiaire (USMP) ne fonctionne plus</t>
  </si>
  <si>
    <t>Bonjour, ici le directeur du centre pénitentiaire de Saint-Denis, le système d'information de l'unité sanitaire est rattachée au CHU, elle n'a plus accès au dossier patient informatisé et ne dispose pas des stocks de médicaments nécessaires. L'unité sanitaire de la prison n'est pas opérationnelle sans système d'information, quelle est la procédure dans ce cas de figure?</t>
  </si>
  <si>
    <t>T2-21</t>
  </si>
  <si>
    <r>
      <rPr>
        <strike/>
        <sz val="12"/>
        <color rgb="FF000000"/>
        <rFont val="Calibri"/>
        <scheme val="minor"/>
      </rPr>
      <t xml:space="preserve">Bonjour, ici le directeur du centre pénitentiaire de Saint-Denis, le système d'information de l'unité sanitaire est rattachée au CHU, elle n'a plus accès au dossier patient informatisé et ne dispose pas des stocks de médicaments nécessaires. L'unité sanitaire de la prison n'est pas opérationnelle sans système d'information, quelle est la procédure dans ce cas de figure?  </t>
    </r>
    <r>
      <rPr>
        <strike/>
        <sz val="12"/>
        <color rgb="FFFF0000"/>
        <rFont val="Calibri"/>
        <scheme val="minor"/>
      </rPr>
      <t>On a posé la question à l'ARS et on attend un retour concernant la procédure de leur part.</t>
    </r>
  </si>
  <si>
    <t>T2-22</t>
  </si>
  <si>
    <t>Journaliste</t>
  </si>
  <si>
    <t xml:space="preserve">Pression médiatique simulée (PMS) - Fake news sur la cyberattaque </t>
  </si>
  <si>
    <t>Bonjour, 
Jeanne Hoarau, journaliste pour le JIR (Journal de l'île de la réunion), nous apprenons  qu'une vaste cyberattaque toucherait l'ensemble des hôpitaux de la Réunion. Pouvez-vous nous confirmer cette information? Qu'en est-il de la sécurité des populations ? Que fait l'Etat? Organisez vous des transferts? C'est une situation plus que périlleuse et rien n'est communiqué, ce n'est pas normal.
Si vous ne souhaitez pas nous répondre, nous devrons faire avec les témoignages des patients et ce n'est pas glorieux pour l'image de l'administration si vous voulez tout savoir, sachant que ce n'est pas la première fois !</t>
  </si>
  <si>
    <t>T2-23</t>
  </si>
  <si>
    <t>Engorgement du Centre de Réception et de Régulation des Appels SAMU 15 (CRRA)</t>
  </si>
  <si>
    <t>Bonjour, ici le Centre de Réception et de Régulation des Appels du SAMU, notre plateforme d'appel est complètement saturée par les appels de personnes voulant savoir si elles peuvent se rendre à l'hôpital. Il y aurait des informations relayées par les patients sur les réseaux sociaux indiquant que les services du CHU sont dépassés par les événements. La téléphonie de l'hôpital est hors service donc ils passent tous par nous et on risque de rater de vraies urgences.</t>
  </si>
  <si>
    <t>T2-24</t>
  </si>
  <si>
    <t>EFS</t>
  </si>
  <si>
    <t>Coupure des flux informatiques avec le CHU</t>
  </si>
  <si>
    <t>Bonjour, nous vous informons que nous avons pris des dispositions pour éviter toute propagation de la cyberattaque vers notre structure. Nous avons pris la décision de couper les échanges de données informatisés (EDI) avec le CHU.</t>
  </si>
  <si>
    <t>Fin de J1 - Début J2</t>
  </si>
  <si>
    <t>T2-25</t>
  </si>
  <si>
    <t>Alerte sur la désorganisation</t>
  </si>
  <si>
    <t xml:space="preserve">Bonjour, nous venons de nous rendre compte que nous avons interverti le traitement de deux patients par erreur. Nous avons des difficultés à gérer le mode papier et craignons que d'autres erreurs soient réalisées. Quelle organisation pouvons-nous mettre en place pour éviter ces erreurs ? </t>
  </si>
  <si>
    <t>T2-26</t>
  </si>
  <si>
    <t>Ministère de la justice</t>
  </si>
  <si>
    <t>Coupure des flux informatiques avec le CHU
(A valider avec Djamil)</t>
  </si>
  <si>
    <t>T2-27</t>
  </si>
  <si>
    <t>Inquiétude</t>
  </si>
  <si>
    <t>Bonjour, on a reçu un appel d'une femme dont le mari a été admis aux urgences du CHU Nord ce matin. C'est bien nous qui l'avons transféré aux urgences du CHU mais le problème c'est que si il a été retransféré quelque part, on n'a pas l'info. On reçoit plusieurs appels dans ce sens mais on ne sait pas quoi leur dire. Il faudrait mettre en place un suivi des transferts et rassurer les familles rapidement.</t>
  </si>
  <si>
    <t>T2-28</t>
  </si>
  <si>
    <t>Ralentissements sur le logiciel de régulation médicale</t>
  </si>
  <si>
    <t>Bonjour, au niveau du CRRA (Centre de Réception et de Régulation des Appels SAMU 15), on a de gros ralentissements au niveau du logiciel de régulation médicale. Les données ne s'incorporent qu'au bout d'une minute. On a déjà eu ce genre de ralentissements, mais comme nous ne savons pas combien de temps ces derniers vont durer, on est passé sur nos fiches pré-remplies papier pour ne perdre aucune info. On revient vers vous dès qu'on en sait plus sur les délais de rétablissements de ce ralentissement.</t>
  </si>
  <si>
    <t>T2-29</t>
  </si>
  <si>
    <t>EDF</t>
  </si>
  <si>
    <t>T2-30</t>
  </si>
  <si>
    <t xml:space="preserve">Responsable service batimentaire </t>
  </si>
  <si>
    <t>Panne ascenseur</t>
  </si>
  <si>
    <t>Bonjour nous avons une panne d'ascenseur, nous souhaitons rapidement régler le problème mais nous n'arrivons pas à identifier pour l'instant le problème et nous ne savons pas combien de temps cela prendra pour réparer..</t>
  </si>
  <si>
    <t>T2-31</t>
  </si>
  <si>
    <t>Fugue d'un patient</t>
  </si>
  <si>
    <t xml:space="preserve">Bonjour, un patient est introuvable depuis plus d'une heure. 
Cela nous préoccupe beaucoup, il est particulièrement instable. </t>
  </si>
  <si>
    <t>T2-32</t>
  </si>
  <si>
    <t>Fugue d'un patient à l'EPSMR</t>
  </si>
  <si>
    <t>T2-33</t>
  </si>
  <si>
    <t>Cadre inquiet à propos des informations qui fuitent sur les problèmes informatiques</t>
  </si>
  <si>
    <t>Bonjour, je suis cadre aux urgences, je me permets de vous contacter directement car j'ai un patient ce matin aux urgences qui est journaliste, et comme depuis ce matin il a pu entendre qu'on rencontre des problèmes informatiques, il arrête pas de me poser des question ainsi qu'aux autres urgentistes. Je crains qu'il transmette de fausses informations ou que cela soit divulgué</t>
  </si>
  <si>
    <t>T2-34</t>
  </si>
  <si>
    <t xml:space="preserve">Responsable d’un service en congé </t>
  </si>
  <si>
    <t>Bonjour, nous avons une opération très importante de programmée aujourd'hui pour un patient dont l'état se dégrade rapidement, on doit le transférer dans un autre établissement au plus vite !</t>
  </si>
  <si>
    <t>T2-35</t>
  </si>
  <si>
    <t>Avancée des investigations</t>
  </si>
  <si>
    <t>Bonjour,
D'après nos analyses, les contrôleurs de domaines ont été compromis et sont partiellement chiffrés. Serveur de messagerie et mails sont compromis.
Nous n'avons pas pu établir un pourcentage exact de toutes les machines chiffrées. Nous ne pouvons pas accéder aux sauvegardes, le serveur permettant de les lire a été chiffré. Nous ne sommes pas capable de préciser l'état des sauvegardes pour le moment.</t>
  </si>
  <si>
    <t>T2-36</t>
  </si>
  <si>
    <t>Journalistes aux urgences</t>
  </si>
  <si>
    <t>Bonsoir,
Il semblerait qu'il y avait un journaliste par hasard aux urgences cette nuit. Il a posé beaucoup de questions sur ce qu'il se passe actuellement à l'hôpital. Ne faudrait-il pas communiquer avant que ce journaliste des informations?</t>
  </si>
  <si>
    <t>T2-37</t>
  </si>
  <si>
    <t>Infirmier ne s'en sort pas pour les prescriptions</t>
  </si>
  <si>
    <t>Bonjour, je ne sais plus à quel patient je dois réaliser un ECG au réveil... Je vais devoir faire un tour de tout le service et déranger tous les patients…</t>
  </si>
  <si>
    <t>T2-38</t>
  </si>
  <si>
    <t>Dysfonctionnement système de vidéosurveillance</t>
  </si>
  <si>
    <t>Bonjour, je suis au niveau du poste de sécurité. Je n'ai plus aucune image qui apparaît sur les écrans de supervision. Que dois-je faire ?</t>
  </si>
  <si>
    <t>T2-39</t>
  </si>
  <si>
    <t>Demande d'un PC de secours pour éditer des plans de soins</t>
  </si>
  <si>
    <t>Bonjour, je vais avoir besoin d'un PC pour éditer des plans de soins. Pouvez-vous m'en fournir un au plus vite ? Merci</t>
  </si>
  <si>
    <t>T2-40</t>
  </si>
  <si>
    <t>Psychiatrie</t>
  </si>
  <si>
    <t>Fugue d'un patient en psychiatrie</t>
  </si>
  <si>
    <t>Un patient avec des troubles psychotiques a fugué. Il a lancé un pied à perfusion sur l'IDE de nuit et s'est enfui. Nous avons prévenu sa famille. Pourriez-vous prévenir tous les service avec son signalement ? Sans annuaire et sans possibilité d'utiliser nos mails, difficile de faire passer l'information. Et j'y pense, vous pouvez voir avec la sécurité si ils peuvent visionner les images des caméras de surveillance ? Merci (si description demandée : jeune de 19 ans, short de sport de basket noir, marcel gris, cheveux brun court, 1m70, fin)</t>
  </si>
  <si>
    <t>Tango 3 - Aggravation de la situation</t>
  </si>
  <si>
    <t>T3-2</t>
  </si>
  <si>
    <t>Bonjour, nous n'avons pas beaucoup de stocks de courriers, contrats et avenants papiers, nous allons vite être à court… Nos équipes sont démotivées, on ne peut pas travailler sans nos logiciels…</t>
  </si>
  <si>
    <t>T3-3</t>
  </si>
  <si>
    <r>
      <t xml:space="preserve">Bonjour, c'est à nouveau le directeur de la prison de Saint-Denis, </t>
    </r>
    <r>
      <rPr>
        <strike/>
        <sz val="12"/>
        <color rgb="FF000000"/>
        <rFont val="Calibri"/>
        <scheme val="minor"/>
      </rPr>
      <t>nous n'avons eu aucun retour de votre part concernant l'unité sanitaire, je me répète mais</t>
    </r>
    <r>
      <rPr>
        <sz val="12"/>
        <color rgb="FF000000"/>
        <rFont val="Calibri"/>
        <scheme val="minor"/>
      </rPr>
      <t xml:space="preserve"> certains des prisonniers ont besoins de traitement à périodicité régulière et d'un suivi, sauf que sans DPI, le médecin est aveugle. On a déjà un prisonnier dont l'état de santé s'est dégradé, on ne sait même pas si on peut encore les envoyer au CHU, on n'arrive pas à les joindre, la plateforme téléphonique du SAMU est saturée. Que devons nous faire ?</t>
    </r>
  </si>
  <si>
    <t>T3-4</t>
  </si>
  <si>
    <t>Bonjour, c'est à nouveau le directeur de la prison de Saint-Denis, nous n'avons eu aucun retour de votre part concernant l'unité sanitaire, je me répète mais certains des prisonniers ont besoins de traitement à périodicité régulière et d'un suivi, sauf que sans DPI, le médecin est aveugle. On a déjà un prisonnier dont l'état de santé s'est dégradé, on ne sait même pas si on peut encore les envoyer au CHU, on n'arrive pas à les joindre, la plateforme téléphonique du SAMU est saturée. Que devons nous faire ?</t>
  </si>
  <si>
    <t>T3-5</t>
  </si>
  <si>
    <t>Centre hospitalier de Mayotte</t>
  </si>
  <si>
    <t>Evacuation sanitaire (EVASAN) - Chirurgie viscérale</t>
  </si>
  <si>
    <t>Bonjour, ici le centre hospitalier de Mayotte, nous aurions besoin de réaliser une évacuation sanitaire pour une intervention de chirurgie viscérale. Le patient souffre d'une hernie inguinale engouée mais nous n'avons plus de place ici. Il est actuellement aux urgences en attente d'un bloc. Le transfert est il possible à La Réunion ? Plusieurs confrères médecins du CHU de la Réunion nous ont prévenu de la cyberattaque qui les touche et nous ont transmis ce numéro car ce patient ne peut pas attendre.</t>
  </si>
  <si>
    <t>T3-6</t>
  </si>
  <si>
    <t>Transfert sanitaire - 2 patients en réanimation victimes d'insuffisance respiratoire aiguë (IRA)</t>
  </si>
  <si>
    <t>Bonjour, 
Nous devons transférer deux patients hospitalisés en réanimation depuis le CHU. Les deux patients sont atteints d'une insuffisance respiratoire aiguë. Ils sont sous assistance respiratoire, mais suffisamment stables pour supporter un transport qui dure maximum 3h. Toutefois, tous nos véhicules terrestres sont en mission, ainsi que notre équipe hélismur. En plus, il y a beaucoup d'embouteillages à Saint-Denis Pourriez-vous nous aider à héliporter ces deux patients vers un autre établissement ?</t>
  </si>
  <si>
    <t>T3-7</t>
  </si>
  <si>
    <t>Confirmation de non atteinte à l'infrastructure SI du SAMU</t>
  </si>
  <si>
    <t xml:space="preserve">Bonjour,
Je vous confirme que l'infrastructure SI du SAMU n'est pas touché par la cyberattaque. </t>
  </si>
  <si>
    <t>T3-8</t>
  </si>
  <si>
    <t>T3-9</t>
  </si>
  <si>
    <t>Ministère de la Santé</t>
  </si>
  <si>
    <t>Bonjour, le directeur de cabinet du ministère du Travail, de la Santé et des Solidarités souhaiterait connaître les évolutions de la situation à J+1. Vous pouvez nous retourner par email un point de situation détaillant : 
- Le taux d'occupation global et par service impactés du CHU de la Réunion
- Le taux d'occupation des urgences et services en tension des établissements de repli
- Les besoins en effectifs
- Les impacts avérés et potentiels sur le dispositif de santé territorial (en prenant en compte Mayotte)
- Les actions engagées par l'ARS 
Pouvez-me faire ce retour écrit d'ici 20 minutes? C'est urgent, le directeur de cabinet voit le ministère dans moins d'une heure.</t>
  </si>
  <si>
    <t>T3-10</t>
  </si>
  <si>
    <t>Service des urgences - CHOR</t>
  </si>
  <si>
    <t>Saturation des urgences</t>
  </si>
  <si>
    <r>
      <rPr>
        <b/>
        <strike/>
        <sz val="12"/>
        <color rgb="FFC00000"/>
        <rFont val="Calibri"/>
        <family val="2"/>
        <scheme val="minor"/>
      </rPr>
      <t>[Si délestage des urgences du CHU vers le CHOR]</t>
    </r>
    <r>
      <rPr>
        <strike/>
        <sz val="12"/>
        <color theme="1"/>
        <rFont val="Calibri"/>
        <family val="2"/>
        <scheme val="minor"/>
      </rPr>
      <t xml:space="preserve">
Bonjour, 
Ici le chef de service des urgences du Centre Hospitalier Ouest Réunion (CHOR), le délestage des urgences du CHU vers notre structure impacte notre capacité de prise en charge. On a activé notre plan blanc comme demandé mais les urgences sont totalement saturées, le taux d'occupation était déjà élevé avant mais on pouvait gérer, nous avons de nombreuses urgences non traitées avec des patients qui attendent dans les couloirs, la salle d'attente est pleine et notre personnel commence à s'agacer. Combien de temps va durer la fermeture des urgences du CHU? Nous avons essayé de les joindre mais nous n'avons eu aucune réponse. On a besoin de visibilité !</t>
    </r>
  </si>
  <si>
    <t>T3-11</t>
  </si>
  <si>
    <t xml:space="preserve">Difficulté d'approvisionnement en médicaments </t>
  </si>
  <si>
    <t>Bonjour, 
Ici le chef de service de la pharmacie, nous avons perdu l'accès à notre annuaire de fournisseurs habituels, en anticipation nous essayons d'en contacter par téléphone à défaut de pouvoir passer par le circuit habituel. Cela exige un temps fou, nous en sommes au stade de vider notre stocker pour comptabiliser les réserves de médicaments, de plus certains de nos patients ont un traitement lourd et très spécifique à périodicité régulière (4 fois par jour).  Nous aurions besoin de votre aide sur deux axes : 
- du personnel supplémentaire pour palier à l'activation de la procédure manuelle
- une liste la plus exhaustive possible de fournisseurs en médicaments et en fournitures médicales type dispositif médicaux
Pensez vous pouvoir nous aider?</t>
  </si>
  <si>
    <t>T3-12</t>
  </si>
  <si>
    <t xml:space="preserve">Ministère de l'intérieur et des Outre-mer - cabinet de la direction générale des Outre-mer </t>
  </si>
  <si>
    <r>
      <rPr>
        <sz val="12"/>
        <color rgb="FF000000"/>
        <rFont val="Calibri"/>
        <scheme val="minor"/>
      </rPr>
      <t xml:space="preserve">Bonjour, 
La cheffe de cabinet adjoint du ministre de l'Inérieur et des Outre-mer etl e Directeur de cabinet m'ont demandé de vous contacter pour que vous nous fassiez un point de situation d'ici </t>
    </r>
    <r>
      <rPr>
        <strike/>
        <sz val="12"/>
        <color rgb="FF000000"/>
        <rFont val="Calibri"/>
        <scheme val="minor"/>
      </rPr>
      <t>une vingtaine</t>
    </r>
    <r>
      <rPr>
        <sz val="12"/>
        <color rgb="FF000000"/>
        <rFont val="Calibri"/>
        <scheme val="minor"/>
      </rPr>
      <t xml:space="preserve"> 45 minutes concernant :
- Le périmètre de l'attaque et son évolution
- Les impacts effectifs et potentiels sur les enjeux de sécurité civile 
- Les mesures mises en place 
Ce retour doit être horodaté. Merci.
Je vous propose de me faire ce retour par email et en fonction, je vous recontacterai.</t>
    </r>
  </si>
  <si>
    <t>T3-13</t>
  </si>
  <si>
    <t>Forces de l'ordre</t>
  </si>
  <si>
    <t>Risque blocage des routes par les manifestations des acteurs du BTP</t>
  </si>
  <si>
    <r>
      <rPr>
        <sz val="12"/>
        <color rgb="FF000000"/>
        <rFont val="Calibri"/>
        <scheme val="minor"/>
      </rPr>
      <t xml:space="preserve">Nous constatons une propagation du mouvement des professionnels du BTP en colère </t>
    </r>
    <r>
      <rPr>
        <strike/>
        <sz val="12"/>
        <color rgb="FF000000"/>
        <rFont val="Calibri"/>
        <scheme val="minor"/>
      </rPr>
      <t>de la métropole vers l'île</t>
    </r>
    <r>
      <rPr>
        <sz val="12"/>
        <color rgb="FF000000"/>
        <rFont val="Calibri"/>
        <scheme val="minor"/>
      </rPr>
      <t xml:space="preserve">, avec certains premiers blocus par des véhicules </t>
    </r>
    <r>
      <rPr>
        <strike/>
        <sz val="12"/>
        <color rgb="FF000000"/>
        <rFont val="Calibri"/>
        <scheme val="minor"/>
      </rPr>
      <t>agricoles</t>
    </r>
    <r>
      <rPr>
        <sz val="12"/>
        <color rgb="FF000000"/>
        <rFont val="Calibri"/>
        <scheme val="minor"/>
      </rPr>
      <t xml:space="preserve"> sur certaines routes. Nous ne savons pas si le mouvement va réellement prendre sur l'île mais nous devons anticiper le risque que de nombreuses routes soient bloquées par ces manifestants, ce qui impactera considérablement la circulation déjà toujours très dense habituellement.</t>
    </r>
  </si>
  <si>
    <t>T3-14</t>
  </si>
  <si>
    <t>Météo France Réunion</t>
  </si>
  <si>
    <t>Alerte sur les prévisions météo</t>
  </si>
  <si>
    <t xml:space="preserve">Bonjour, ici Météo France, nous vous remontons des risques cycloniques élevés sur la côte Nord-Est/Est de La Réunion dans un délai d'environ 7 jours. </t>
  </si>
  <si>
    <t>SMS</t>
  </si>
  <si>
    <t>T3-15</t>
  </si>
  <si>
    <t>GRADeS Tesis</t>
  </si>
  <si>
    <t>Impacts Data Center</t>
  </si>
  <si>
    <t>Nous continuons les investigations avec l'aide de notre prestataire Nextira One ainsi qu'ADVENS. Nous vous tenons au courant dès que nous avons du nouveau de notre côté.</t>
  </si>
  <si>
    <t>T3-16</t>
  </si>
  <si>
    <t>DG clinique privée</t>
  </si>
  <si>
    <t>Point de situation</t>
  </si>
  <si>
    <t xml:space="preserve">Nous avons été contacté par des médecins du CHUR qui souhaitent organiser des transferts de patients directement avec nous. Nous souhaitons encadrer ces transferts avec vous car nous ne pouvons pas gérer au cas par cas les demandes de médecins qui s'appellent entre eux pour s'envoyer des patients même si c'est urgent. Nous avons besoin de connaître le nombre exact de patients qui doivent être transférés, pour quels types de soins, pour quels types d'interventions chirurgicales, si il y a une procédure d'identitovigilance de secours en cas de transfert de patients en l'absence de la GAM et du DPI ? </t>
  </si>
  <si>
    <t>T3-17</t>
  </si>
  <si>
    <t>CERT Santé</t>
  </si>
  <si>
    <t>Identifier un endroit sécurisé pour stocker les postes et serveurs compromis</t>
  </si>
  <si>
    <t>T3-18</t>
  </si>
  <si>
    <t>Equipe opérationnelle d'hygiène CHU</t>
  </si>
  <si>
    <t>Appel du prestataire pour les DASRI</t>
  </si>
  <si>
    <t>Bonjour, les DASRI continuent à s'accumuler et le prestataire n'est pas venu depuis la semaine dernière. Quelqu'un a-t-il pensé à le rappeler entre temps ? Auriez vous son contact ? Ses coordonnées n'étaient que dans nos postes actuels indisponibles…</t>
  </si>
  <si>
    <t>T3-19</t>
  </si>
  <si>
    <t>Phishing déjoué par un agent vigilant</t>
  </si>
  <si>
    <t>Objet : EXERCICE EXERCICE EXERCICE - ALERTE campagne phishing
Chers collègues,
Je voulais vous informer d'une tentative de phishing que j'ai reçue aujourd'hui. L'e-mail semblait provenir de notre fournisseur de services de messagerie, mais après vérification, j'ai remarqué plusieurs signes révélateurs d'une tentative de phishing.
L'e-mail demandait de vérifier les informations de mon compte en cliquant sur un lien. Cependant, en survolant le lien avec la souris, j'ai pu voir que l'URL ne correspondait pas à celle de notre fournisseur de services de messagerie.
Je vous le signale donc par cet e-mail. Je n'ai évidemment cliqué sur aucun lien ni fourni d'informations personnelles. Nous devons rester vigilants face à ce type d'e-mails et à toujours vérifier les informations avant de cliquer sur des liens ou de fournir des informations personnelles.
Cordialement,</t>
  </si>
  <si>
    <t>Horaire</t>
  </si>
  <si>
    <t>Tango 1</t>
  </si>
  <si>
    <t>Dysfonctionnement des pneumatiques</t>
  </si>
  <si>
    <t>Bonjour, j'ai l'impression qu'il y a un dysfonctionnement avec les pneumatiques, plusieurs services se sont plaints de ne pas avoir les résultats du laboratoire.</t>
  </si>
  <si>
    <t>Equipe Technique</t>
  </si>
  <si>
    <t>Manque de personnel</t>
  </si>
  <si>
    <t xml:space="preserve">Bonjour, 
Il nous manque du personnel aujourd'hui. 
Nous ne serons pas en mesure d'assurer les transferts de patients...
Les véhicules sont immobilisés. </t>
  </si>
  <si>
    <t>Responsable brancardage</t>
  </si>
  <si>
    <t>Accueil des urgences</t>
  </si>
  <si>
    <t>Cadre des admissions</t>
  </si>
  <si>
    <t>Service des urgences</t>
  </si>
  <si>
    <t>Service au choix</t>
  </si>
  <si>
    <t>Sous-effectif à l’hôpital</t>
  </si>
  <si>
    <t xml:space="preserve">Bonjour, 
Il nous manque du personnel ce matin. Nous avons tenté de contacter l'agence d'interim' mais ils ne repondent pas... 
Est-ce qu'on attend l'arrivée des cadres ? 
On essaie en parallèle de se réorganiser en interne pour assurer la continuité des soins mais nous ne sommes pas sûrs que ce soit possible. </t>
  </si>
  <si>
    <t>Service de cardiologie</t>
  </si>
  <si>
    <t>Appel stressé d’un soignant</t>
  </si>
  <si>
    <t xml:space="preserve">Bonjour, 
C'est l'heure de la relève, il manque du personnel, nous ne pouvons plus acceuillir les patients...
Il me faut une place dès que possible !
En plus, l'armoire à pharmacie est capricieuse un coup elle s'ouvre un coup elle ne veut pas s'ouvrir... </t>
  </si>
  <si>
    <t>USIC</t>
  </si>
  <si>
    <t>Service de psychiatrie</t>
  </si>
  <si>
    <t>Service maternité</t>
  </si>
  <si>
    <t>Bonjour, c'est la médecine interne, est-ce que c'est la grève aujourd'hui ? Aucun repas n'est arrivé, il se passe quelque chose dont nous ne sommes pas au courant ?</t>
  </si>
  <si>
    <t>Service médecine interne</t>
  </si>
  <si>
    <t>Service de gériatrie</t>
  </si>
  <si>
    <t>Improviser</t>
  </si>
  <si>
    <t>Service neonatalité</t>
  </si>
  <si>
    <t>L'administrateur de garde informe le DSI</t>
  </si>
  <si>
    <t>Administrateur de garde</t>
  </si>
  <si>
    <t>Appel des équipes de la DSI vers le DSI pour informer des difficultés</t>
  </si>
  <si>
    <t>Bonjour, on nous a remonté quelques pannes sur des logiciels,et le réseau est saturé depuis cette nuit. Ca doit générer des lenteurs. On ne comprends pas ce qu'il se passe pour le moment.</t>
  </si>
  <si>
    <t>Equipe DSI</t>
  </si>
  <si>
    <t>Appel de la cadre qui commence à être saturée de problématiques</t>
  </si>
  <si>
    <t xml:space="preserve">Bonjour, on me fait remonter des problèmes de toute part, je n'arrive plus à suivre et à tout faire remonter. 
Mon téléphone n'arrête pas de sonner et je n'ai pas le temps d'écouter ou de lire les messages qu'on me laisse.... C'est vraiment la folie aujourd'hui y'a rien qui va !!! </t>
  </si>
  <si>
    <t>Ralentissement des distributeurs de linge</t>
  </si>
  <si>
    <t>Bonjour, service de médecine interne, nous avons du mal à récupérer le linge, les distributeurs sont très lents. Nous en avons besoin impérativement.</t>
  </si>
  <si>
    <t>Accident sur l'autoroute 
empêche des paramédicaux d'arriver à l'heure</t>
  </si>
  <si>
    <t>Bonjour, je vous contacte, car j'ai plusieurs infirmiers et aides-soignants, qui m'ont contacté pour me dire qu'ils sont coincés sur l'autoroute. Apparement, il y a eu un accident grave, et ils ne savent pas exactement dans combien de temps, ils arriveront à l'hôpital.. ils m'ont assuré qu'ils nous tiendront au courant</t>
  </si>
  <si>
    <t>Manque de personnel 
suite à accident et retards</t>
  </si>
  <si>
    <t>Bonjour, je vous recontacte car nos équipes aimeraient savoir quand ils pourront rentrer chez eux... Certains ont des problèmatiques de garde d'enfants et ne peuvent pas rester plus pour combler les retards, je ne sais pas quoi leur répondre.</t>
  </si>
  <si>
    <t>Le logiciel des repas ne fonctionne plus</t>
  </si>
  <si>
    <t>Bonjour, je vous rappele pour remonter un dysfonctionnement. Les cuisines ne peuvent plus éditer les repas et aucun services ne peut distribuer les repas c'est très embêtant…</t>
  </si>
  <si>
    <t>Responsable technique du site</t>
  </si>
  <si>
    <t>Une mise à jour de sécurité s’est lancée sur les postes informatiques</t>
  </si>
  <si>
    <t xml:space="preserve">Bonjour,
Une mise à jour s'est lancée sur les postes... Nous ne pourrons pas les utiliser pendant une dizaine de minutes.  </t>
  </si>
  <si>
    <t>Hypothèse de piratage service gastro</t>
  </si>
  <si>
    <t>Bonjour, c'est le médecin coordinateur du service gastro, je pense que le poste a été piraté, il n'y a plus rien qui répond. Avez vous une procédure prévue pour ce type de cas, je ne sais absolument pas quoi faire et ni à qui m'adresser, je vous avoue être un peu perdu, j'aurais besoin d'aide.</t>
  </si>
  <si>
    <t>Service gastro</t>
  </si>
  <si>
    <t>Le DSI demande l'appui de l'ANSSI ou du CERT Santé</t>
  </si>
  <si>
    <t>Bonjour, nous observons des flux étranges et massifs, on ne sait pas encore d'où ça vient mais c'est très inquiétant. La bande passante a augmenté très fortement depuis cette nuit. Est-ce qu'on peut avoir l'appui de l'ANSSI ou du CERT Santé ?</t>
  </si>
  <si>
    <t>DSI Territoire - service infrastructure</t>
  </si>
  <si>
    <t>Accueil de l'hopital</t>
  </si>
  <si>
    <t xml:space="preserve">Clé USB en cause ? </t>
  </si>
  <si>
    <t>Nous avons une clé USB qu'on s'est transmise ce matin entre nous aux urgences, et depuis il y a beaucoup de problèmes je pense que c'est cette clé USB qui est source de problème</t>
  </si>
  <si>
    <t>Problème de garde d'enfants des employés</t>
  </si>
  <si>
    <t>Bonjour, je cherche à joindre Monsieur X,
son enfant est à l'infirmerie et attend d'être récupé, il faudrait venir à l'école.</t>
  </si>
  <si>
    <t xml:space="preserve">Divers </t>
  </si>
  <si>
    <t>Divers</t>
  </si>
  <si>
    <t>Démarchage équipement médical</t>
  </si>
  <si>
    <t xml:space="preserve">Bonjour,
C'est l'entreprise Distrimed qui vous contacte, nous sommes spécialisés dans la vente de matériel médical, nous aimerions vous infromer qu'en ce moment nous avons de superbes promotions sur les éléctrocardiographes avec des offres à partir de 589 euros. N'hesitez pas à directement consulter notre site internet également. </t>
  </si>
  <si>
    <t>Entreprise Distrimed</t>
  </si>
  <si>
    <t>Bonjour X, je suis cadre aux
 urgences, je me permets de vous contacter 
directement car j'ai un patient ce matin aux
urgences qui est journaliste TF1, et comme depuis ce matin il a pu entendre qu'on rencontre des problèmes informatiques, il arrête pas de me poser des question ainsi qu'aux autres urgentistes. Je crains qu'il transmette de fausses informations ou que cela soit divulgué</t>
  </si>
  <si>
    <t xml:space="preserve">Bonjour, nous avons une opération très importante de programmée aujourd'hui, elle ne peut pas être déprogrammée au service X mais le responsable de ce service est en congé, Nous attendons vos consignes </t>
  </si>
  <si>
    <t>Service de chirurgie pédiatrique</t>
  </si>
  <si>
    <t>Personne influente arrivée aux urgences - que faire ?</t>
  </si>
  <si>
    <t>C'est les urgences, nous avons X qui vient d'être admis aux urgences, il a fait un AVC, faut à tout prix faire quelque chose, les rumeurs ciruclent vite, nous avons pleins de patients qui viennent nous poser la question, la ligne téléphonique est débordée, c'est l'affolement total. qu'est ce qu'on doit faire ? pourrions nous avoir du renfort quelque chose avant que cela ne devienne incontroable ?</t>
  </si>
  <si>
    <t>Identification de fichiers chiffrés</t>
  </si>
  <si>
    <t>Bonjour, je viens d'analyser les serveurs des applications en panne, il y a de nombreux fichiers avec l'extension .xyz, et ils sont illisibles. Savez-vous ce qu'il se passe ?</t>
  </si>
  <si>
    <t>Appel vers le DSI : 
Alertes sur les consoles de supervision</t>
  </si>
  <si>
    <t>Appel vers la qualité : 
Préparation des services au mode dégradé</t>
  </si>
  <si>
    <t>Personne médiatique arrivée aux urgences - quoi faire ?</t>
  </si>
  <si>
    <t xml:space="preserve">C'est les urgences, nous avons reçu un influenceur connu qui a fait un accident de moto et nous avons plein de patients qui viennent nous poser la question sur lui, des jeunes s'amusent à appeler sur notre ligne téléphonique et il y a même la presse people qui est sur place. Qu'est ce qu'on doit faire ? </t>
  </si>
  <si>
    <t>Arrivée de l'Unité Médico Juiciaire et agression du médecin
N°1</t>
  </si>
  <si>
    <t>Bonjour, un  médecin vient d'être agressé un médecin au niveau de l'Unité Médico Judiciaire, il est dans un état grave.</t>
  </si>
  <si>
    <t>Altercation entre médecins et policiers
N°2</t>
  </si>
  <si>
    <t xml:space="preserve">Bonjour suite à l'agression de notre médecin, les tensions sont montées entre les agents de police qui ne sont pas parvenus à régler assez rapidement la situation et les médecins. Donc le service médico judiciaire ne souhaite plus travailler pour l'instant. Nous essayons d'arranger les choses mais tout le monde est sur les nerfs, c'est compliqué de gérer actuellement </t>
  </si>
  <si>
    <t>Analyse du service infrastructure</t>
  </si>
  <si>
    <t>Bonjour, nous avons identifié des surchauffes au niveau de vos serveurs. Nous sommes en train de regarder de quoi il s'agit, à priori des scans réseau et des périphériques malveillants…</t>
  </si>
  <si>
    <t>Bonjour c'est le service Infra de la DSI Territoire, on vient avec des précisions sur la nature de la menace : 
- Multiples scans réseaux très intensifs
- Tentatives de brut-force massives
- Trafic réseau sortant plus important que d'habitude
- Branchement de périphérique "Bad USB"</t>
  </si>
  <si>
    <t>Bonjour c'est le service Infra de la DSI Territoire qui vous rappelle, ça pourrait être une cyberattaque. Nous continuons nos investigations pour pouvoir préparer un début de réponse. En attendant, il faut débrancher tous les systèmes, couper le réseau externe et remasteriser les postes, voire les remplacer.</t>
  </si>
  <si>
    <t>Bonjour, je vous contacte en urgence car tous les postes informatiques au niveau du guichet des admissions aux urgences sont maintenant entièrement éteints avec des écrans noirs. Nous continuons de traiter les demandes en manuscrit mais ça ne va pas être possible indéfiniment, ça prend beaucoup de temps et nous sommes de plus en plus saturés.</t>
  </si>
  <si>
    <t xml:space="preserve">QUID de la robotisation milieu hospitalier </t>
  </si>
  <si>
    <t xml:space="preserve">Bonjour je suis journaliste pour France 2, que pensez vous de la question qui fait polémique sur les réseaux : celle de la robotisation en milieu hospitalier ? Qu'en pensez vous ? Est ce que c'est un veritable problème pour les hopitaux ? </t>
  </si>
  <si>
    <t xml:space="preserve">Journalistes </t>
  </si>
  <si>
    <t>Les imprimantes du centre hospitalier impriment le message de rançon</t>
  </si>
  <si>
    <t>Envoi des logs au CERT Santé et à l'ANSSI</t>
  </si>
  <si>
    <t>Bonjour, on a du mal à identifier les problèmes et l'origine des coupures. On va contacter le CERT Santé et l'ANSSI pour leur envoyer des logs.</t>
  </si>
  <si>
    <t>« Bonjour,
Nous vous contactons suite aux messages que nous avons vu apparaitre sur les réseaux sociaux concernant un potentiel incident de sécurité touchant vos systèmes.
Pouvez-vous nous en dire plus sur les événements ?
En vous remerciant par avance »</t>
  </si>
  <si>
    <t>ANSSI</t>
  </si>
  <si>
    <t xml:space="preserve">Fausses images circulant de scènes de panique </t>
  </si>
  <si>
    <t xml:space="preserve">Bonjour je suis journaliste du Parisien, nous avons reçu des images et photos qui témoignent d'une prise de panique au sein de l'hôpital ? Que pouvez vous nous dire à ce sujet? </t>
  </si>
  <si>
    <t xml:space="preserve">Théorie de la panne liée à la vetusté </t>
  </si>
  <si>
    <t xml:space="preserve">Bonjour, je suis une journaliste du journal le Monde, je voudrais savoir afin de rédiger mon article si les différentes pannes auxquelles vous faites face sont liée à la vétusté du matériel des hopitaux ? </t>
  </si>
  <si>
    <t xml:space="preserve">Théorie de la panne liée à manque de moyen </t>
  </si>
  <si>
    <t>Bonjour, je suis journaliste pour 20 minutes je voudrais savoir dans le cadre de toute cette politique qui tourne autour de l'hôpital si les pannes auxuqelles vous faites face sont le résultat d'un manque de moyens des hôpitaux ? La robotisation est bien mise en place mais l'entretient du matériel de l'hopital ne suit pas ?</t>
  </si>
  <si>
    <t>Pharmacie</t>
  </si>
  <si>
    <t>Attaque au rançongiciel Ruyk</t>
  </si>
  <si>
    <t>Mail : Your network has been penetrated.
All files on each host in the network have been encrypted with a strong algorithm.
Backups were either encrypted
Shadow copies also removed, so F8 or any other methods may damage encrypted data but not recover.
We exclusively have decryption software for your situation.
More than a year ago, world experts recognized the impossibility of deciphering by any means except the original decoder.
No decryption software is available in the public.
Antiviruse companies, researchers, IT specialists, and no other persons cant help you encrypt the data.
DO NOT RESET OR SHUTDOWN - files may be damaged.
DO NOT DELETE readme files.
To confirm our honest intentions.Send 2 different random files and you will get it decrypted.
It can be from different computers on your network to be sure that one key decrypts everything.
2 files we unlock for free
To get info (decrypt your files) contact us at
GHTNOVOMacGlen@protonmail.com
or
GHTNOVOMacGlen@tutanota.com
You will receive btc address for payment in the reply letter
Ryuk
No system is safe</t>
  </si>
  <si>
    <t>Attaquants</t>
  </si>
  <si>
    <t xml:space="preserve">Il y a des fichiers cryptés : attaques rançonlogiciel Ruyk </t>
  </si>
  <si>
    <t>تم اختراق شبكتك.
تم تشفير جميع الملفات الموجودة على كل مضيف في الشبكة بخوارزمية قوية.
تم تشفير النسخ الاحتياطية
تمت إزالة نسخ الظل أيضًا ، لذلك قد يؤدي استخدام F8 أو أي طرق أخرى إلى إتلاف البيانات المشفرة ولكن لا يتم استردادها.
لدينا حصريًا برنامج فك تشفير لحالتك.
منذ أكثر من عام ، أدرك خبراء العالم استحالة فك التشفير بأي وسيلة باستثناء وحدة فك التشفير الأصلية.
لا يوجد برنامج فك تشفير متاح للجمهور.
لا تستطيع شركات مكافحة الفيروسات والباحثون والمتخصصون في تكنولوجيا المعلومات وأي أشخاص آخرين مساعدتك في تشفير البيانات.
لا تقم بإعادة الضبط أو الإغلاق - فقد تتلف الملفات.
لا تحذف الملفات التمهيدية.
لتأكيد نوايانا الصادقة أرسل ملفين عشوائيين مختلفين وسيتم فك تشفيرهما.
يمكن أن يكون من أجهزة كمبيوتر مختلفة على شبكتك للتأكد من قيام مفتاح واحد بفك تشفير كل شيء.
2 ملف نفتحه مجانًا
للحصول على معلومات (فك تشفير ملفاتك) اتصل بنا على
GHTNOVOMacGlen@protonmail.com
أو
GHTNOVOMacGlen@tutanota.com
سوف تتلقى عنوان btc للدفع في خطاب الرد
ريوك
لا يوجد نظام آمن</t>
  </si>
  <si>
    <t xml:space="preserve"> В вашу сеть проникли.
Все файлы на каждом узле сети были зашифрованы сильным алгоритмом.
Резервные копии были либо зашифрованы.
Теневые копии также удалены, поэтому F8 или любые другие методы могут повредить зашифрованные данные, но не восстановить их.
Для вашей ситуации у нас есть исключительно программное обеспечение для расшифровки.
Более года назад мировые эксперты признали невозможность расшифровки любыми средствами, кроме оригинального дешифратора.
В открытом доступе нет ни одного программного обеспечения для расшифровки.
Антивирусные компании, исследователи, IT-специалисты и никакие другие лица не могут помочь вам зашифровать данные.
НЕ ПЕРЕЗАПУСКАЙТЕ И НЕ ВЫКЛЮЧАЙТЕ - файлы могут быть повреждены.
НЕ УДАЛЯЙТЕ файлы readme.
Чтобы подтвердить наши честные намерения, отправьте 2 разных случайных файла и получите их расшифровку.
Это может быть с разных компьютеров в вашей сети, чтобы быть уверенным, что один ключ расшифрует все.
2 файла, которые мы разблокируем бесплатно
Для получения информации (расшифровки ваших файлов) свяжитесь с нами по адресу
GHTNOVOMacGlen@protonmail.com
или
GHTNOVOMacGlen@tutanota.com
Вы получите btc адрес для оплаты в ответном письме.
Рюк
Ни одна система не является безопасной
Переведено с помощью www.DeepL.com/Translator (бесплатная версия)</t>
  </si>
  <si>
    <t xml:space="preserve">Appel énervé de l'ARS de ne pas avoir l'info dans les temps et de ne pas être impliquée </t>
  </si>
  <si>
    <t>SI PAS PREVENUE À CE STADE
Bonjour, je viens d'apprendre, indirectement, que vos sites sont victimes d'une cyberattaque. Par les réseaux sociaux... N'auriez-vous pas oublié de me prévenir ? J'aimerais que ce soit la dernière fois que je vous appelle pour avoir des informations. C'est à vous de me tenir informé-e !</t>
  </si>
  <si>
    <t>Une fois le signalement réalisé
A adapter au besoin 
Stimuli 2</t>
  </si>
  <si>
    <t xml:space="preserve">
Stimuli 2 
Une fois le signalement réalisé (après stimuli 1 ou après signalement). N’hésitez pas à modifier /supprimer les questions en fonction des détails. Cette liste de question peut être très utile si vous voulez inciter les cellules de crise à faire un point de situation.
« Bonjour,
Nous avons bien pris en compte votre signalement, enregistré sous la référence [RM#XXXXXX].
Dans le cadre de notre procédure de traitement d’incident, nous souhaiterions obtenir davantage d’informations. Vous trouverez ci-après
les éléments demandés ainsi que des premières recommandations.
• Nom et Prénom / Courriel / Numéro de téléphone du RSSI et/ou de la personne en charge de cet incident
• Quelles sont les machines concernées par l’infection ? Quels types de fichiers ont été chiffrés ? Le SI compromis est-il en lien avec d’autres SI ?
• Quel est l’impact de cet incident sur la poursuite de vos activités ?
• Date et heure de l’infection
___________________________ (possible de le faire en deux appels)_____________________________
• Connaissez-vous le vecteur de la compromission  (courriel malveillant, exploitation de vulnérabilité, compromission de SI, etc.) ?
• Connaissez-vous le rançongiciel ? Sa version ?
• Quelle est l’extension des fichiers chiffrés ?
• Avez-vous des empreintes numériques (MD5, SHA1, SHA256 ...), une souche du rançongiciel ou des captures d’écran à nous transmettre ?
• Pouvez-vous communiquer la demande de rançon, les adresses courriel impliquées, les portefeuilles de Bitcoin ?
• Avez-vous des sauvegardes saines qui permettraient de restaurer le ou les systèmes infectés ?
• Avez-vous engagé un prestataire pour vous aider à remédier à cette attaque ? Si oui, lequel ?
• Quelles ont été les mesures réactives prises à la suite de cet incident ?
• Dans le cas où des données à caractère personnel aient été impactées, avez-vous déclaré l’incident à la CNIL ?
• Envisagez-vous ou avez-vous déjà effectué un dépôt de plainte ? 
• Il est très peu probable que les données puissent être déchiffrées. Toutefois, sollicitez-vous une assistance de l’ANSSI dans vos actions de remédiation ? Si oui, pour quel(s) champs d’intervention ?
Notez qu’à ce stade, le niveau d’engagement de l’ANSSI ne peut être défini.
Dans l’optique d’une démarche pénale (recommandée), nous vous rappelons que vous êtes invité à conserver sans y apporter de modification, tout document ou information établissant les faits et qui constitueraient potentiellement des éléments de preuve :
- copies physiques des disques durs (ou VM) des postes compromis ;
- copies des journaux d’événements disponibles sur tout équipement réseau qui auraient pu permettre la transmission des codes malveillants. 
Enfin, selon le type et la version du rançongiciel, il est possible qu’il existe un outil ou des clés de déchiffrement dédiés. Un référentiel de ces solutions est disponible sur le site Internet No More Ransom (https://www.nomoreransom.org/fr/index.html). Nous vous invitons à consulter les conseils préalables et guides d’utilisation avant toute opération de déchiffrement.
Également, si vous le souhaitez une personne en charge de la communication à l’ANSSI va prendre contact avec vos communicants. Pouvez-vous me transmettre leurs coordonnées ? Je vous propose de planifier rapidement un point d’étape. » =&gt; à faire uniquement si vous souhaitez jouer ce volet là accompagnement à la communication de crise.</t>
  </si>
  <si>
    <t xml:space="preserve">DT ARS qui demande un point de situation </t>
  </si>
  <si>
    <t>Bonjour, c'est la "DT ARS", je vous appelle pour faire un point rapide sur la situation : 
- quelles sont vos certitudes pour l'instant ?
- quels sont les premiers impacts ?
- à quoi doit-on se préparer ?</t>
  </si>
  <si>
    <t>Sollicitation du ministère (CORRUS)</t>
  </si>
  <si>
    <t xml:space="preserve">Bonjour, c'est Caroline Le Borgne 
Pouvez vous nous faire un point sur la situation ? </t>
  </si>
  <si>
    <t>CORRUS</t>
  </si>
  <si>
    <t>Appel de l’ARS 
Questions sur la vaccination</t>
  </si>
  <si>
    <t xml:space="preserve">Bonjour, 
Pouvez vous nous faire un point sur la situation ? 
QUID de la vaccination ? Y a t-il un risque pour l'unité ? 
</t>
  </si>
  <si>
    <t>Pb dossier partagé</t>
  </si>
  <si>
    <t xml:space="preserve">Bonjour, 
Nous pensons que notre dossier partagé au service gastro a été corrompu. 
Que fait-on ? </t>
  </si>
  <si>
    <t xml:space="preserve">Service gastro 
Médecin coordinateur </t>
  </si>
  <si>
    <t>Communication ARS</t>
  </si>
  <si>
    <t>L'ARS demande des éléments de langage pour communication.</t>
  </si>
  <si>
    <t>Message de menace en français</t>
  </si>
  <si>
    <t>Le temps presse... si vous ne payez pas rapidement nous allons diffuser des données personnelles en amuse bouche ET PAS N'IMPORTE LESQUELS on vous le garantit ! Bougez vous</t>
  </si>
  <si>
    <t>Message de menace en russe</t>
  </si>
  <si>
    <t>ВРЕМЯ ИДЁТ, ВРЕМЯ СПЕШИТ, ЕСЛИ НЕ ЗАПЛАТИТЕ ТО УВИДИТЕ ЧТО С ВАМИ БУДЕТ !</t>
  </si>
  <si>
    <t xml:space="preserve">Message en Arabe de menace </t>
  </si>
  <si>
    <t>الوقت يمضي ، إذا لم تدفع ، فراجع ما سيحدث لك!</t>
  </si>
  <si>
    <t xml:space="preserve">Message en Espagnol de menace </t>
  </si>
  <si>
    <t>EL TIEMPO PASA, SI NO PAGAS ENTONCES VERAS LO QUE PASA!</t>
  </si>
  <si>
    <t xml:space="preserve">Message en Moore de menace </t>
  </si>
  <si>
    <t>Te waa panui ... ki te kore koe e utu tere ka tohaina e maatau o raatau ake tuhinga ma te ngahau, kaua e uru ki nga mea e taurangi ana matou! Haere tonu</t>
  </si>
  <si>
    <t>Bonjour, on a perdu le monitorage des patients. On est obligé de se déplacer dans chaque chambre pour surveiller l'état des patients. On a besoin de renfort, on ne peut pas se dédoubler !</t>
  </si>
  <si>
    <t>USC ou USIC ou USINV</t>
  </si>
  <si>
    <t>Plus possible de créer des dossiers d'admission au niveau des urgences</t>
  </si>
  <si>
    <t>Bonjour, 
on est complétement débordés qu'est ce qu'on fait ??</t>
  </si>
  <si>
    <t>Appel énervé d’un médecin qui n’arrive plus à accéder aux dossiers de ses patients</t>
  </si>
  <si>
    <t xml:space="preserve">Bon ça commence à bien faire, c'est Jean Luc médecin en USIC, je n'arrive pas à accéder aux dossiers de mes patients, vous trouvez ça normal en toute honnêteté ? Je n'ai pas de temps à perdre, comment je fais si un des patients me fait une crise cardiaque là tout de suite, j'ai aucune information rien rien absolument rien. Je rentre chez moi dans ce cas là et puis vous m'appelez quand c'est reglé ! </t>
  </si>
  <si>
    <t xml:space="preserve">Saturation progressive aux urgences
après appel à la régulation 
</t>
  </si>
  <si>
    <t xml:space="preserve">Bonjour, le flux d'arrivées aux urgences devient trop important, nous serons bientôt saturés. Nous avons appelé la régulation...
Pas de place au delà de 4-5 véhicules, donc coincés dans leurs véhicules </t>
  </si>
  <si>
    <t>CTA appelle, envoi officier</t>
  </si>
  <si>
    <t xml:space="preserve">AR (ambu réa) se plaint 
Un officier se présente aux urgences parce qu'il y a beaucouup de VSAV qui attendent 
"Bonjour, vous pouvez m'expliquer ce qui se passe ? Pourquoi il y a un engorgement de VSAV ?"  </t>
  </si>
  <si>
    <t xml:space="preserve">CTA </t>
  </si>
  <si>
    <t xml:space="preserve"> Si besoin d'un accompagnement Communication par l’ANSSI </t>
  </si>
  <si>
    <t>« Bonjour,
Je travaille au sein de la division de la communication de l’ANSSI et je prends contact avec vous suite aux échanges que vous avez avec l’agence sur votre incident. On se propose de vous accompagner pour anticiper et/ou préparer vos éléments de communication externe et interne en cas de visibilité de l’attaque. 
Des premiers éléments de communication interne ou externe ont-ils déjà été transmis ? Avez-vous été sollicité par les médias ? Pour construire votre stratégie de communication, plusieurs actions à mener dans un premier temps : définition des parties prenantes (interne, clients, autorités, etc.), des cibles et objectifs de votre communication ainsi que des éventuels points de vigilance spécifiques à votre entité (notoriété/image de marque, exposition médiatique), votre secteur d’activité (actualités du marché, etc.), votre calendrier (obligation de communication financière, rachat, etc.), etc.  Nous pouvons vous accompagner dans la rédaction de vos éléments de communication (communiqué de presse, communication interne). Si vous souhaitez mentionner l’ANSSI,  nous demanderons à valider la mention. »</t>
  </si>
  <si>
    <t>Si réponse à la demande d’information par l’Agence (stimuli 2)</t>
  </si>
  <si>
    <t>« Bonjour,
Voici quelques éléments issus de notre analyse. Nous avons pu identifier le code malveillant à l’origine de l’attaque, il s’agirait du rançongiciel RYUK, Nous n’avons cependant pas encore identifié le vecteur d’infection initiale. Ce code malveillant chiffre les fichiers présents sur la machine ainsi que sur les partages réseau accessibles. Il supprime également les copies cachées.
Votre SI ne retrouvera pas un fonctionnement normal pendant une semaine au moins. Il faudra prévoir de travailler quasiment sans informatique et donc en mode dégradé durant cette période.
Nous vous invitons à consulter les informations suivante sur le ranconlogiciel concerné : https://www.cert.ssi.gouv.fr/uploads/CERTFR-2019-CTI-001.pdf »</t>
  </si>
  <si>
    <t>Laboratoire</t>
  </si>
  <si>
    <t>Débranchement des câbles réseaux</t>
  </si>
  <si>
    <t xml:space="preserve">Bonjour c'est l'ANSSI à l'appareil, il faut débrancher les câbles réseaux en attendant que nos équipes interviennent </t>
  </si>
  <si>
    <t xml:space="preserve">ANSSI </t>
  </si>
  <si>
    <t>Ne pas prendre contact avec attaquants</t>
  </si>
  <si>
    <t>Bonjour c'est encore l'ANSSI comme nous le préconisons toujours il ne faut surtout pas prendre contact avec l'attaquant ! 
Pour l'instant ce que l'on vous préconise c'est surtout de ne pas éteindre les machines infectés, en attendant qu'on réussise à rassembler plus d'éléments et d'informations.</t>
  </si>
  <si>
    <t>Une secrétaire a envoyé un mail à l'attaquant en demandant le prix de la rançon</t>
  </si>
  <si>
    <t>Bonjour, je vous appelle car ma collègue aux urgences a envoyé un mail aux attaquants sur le mail indiqué pour demander le montant de la rançon....</t>
  </si>
  <si>
    <t xml:space="preserve">Screen des attaquants d'une image avec la demande de rançon </t>
  </si>
  <si>
    <t>Analyse du CERT Santé</t>
  </si>
  <si>
    <t>Bonjour c'est le CERT Santé, on a analysé quelques logs, et on a identifié une compromission de l'AD et du server Exchange. Un compte admin a été créé cette nuit, et des exfiltration de données ont eu lieu. On peut considérer que toutes les données ont été volées...</t>
  </si>
  <si>
    <t>Prise de contact du SIB</t>
  </si>
  <si>
    <t>Bonjour, c'est le SIB. Nous avons été contacté par vos équipes suite aux dysfonctionnements que vous rencontrez depuis ce matin. Pour nous il s'agit d'une cyberattaque, on observe des exfiltrations de données vers des serveurs extérieurs. Il vaut mieux couper les accès tout de suite et isoler votre réseau.</t>
  </si>
  <si>
    <t>SIB (hébergeur de données de santé)</t>
  </si>
  <si>
    <t>Nettoyage du matériel d'endoscopie</t>
  </si>
  <si>
    <t>Bonjour, comme si ça ne suffisait pas on a aussi un problème avec le laveur du matériel. On ne peut plus assurer le nettoyage du matériel d'endoscopie.</t>
  </si>
  <si>
    <t>Saturation d’appels pour dire qu’il y a un problème sur les ordinateurs</t>
  </si>
  <si>
    <t xml:space="preserve">Il y a des problèmes sur les postes ! Que fait-on ? </t>
  </si>
  <si>
    <t>Bonjour.
Je suis un hacker,et j’ai accès à l'ensemble de vos systèmes informatiques et à vos systèmes d'exploitation
Cela fait plusieurs mois que je surveille votre hôpital.
Si vous ne comprenez pas, ce qui arrive je vais vous l’expliquer.
Un virus de type cheval de Troie me donne un accès complet et un contrôle intégral d’un ordinateur ou d’un autre appareil.
Cela signifie que je suis capable de surveiller votre écran, le manipuler sans que vous ne puissiez le savoir.
JE SUIS D'HUMEUR TAQUINE, JE VAIS PEUT-ÊTRE DANS PEU DE TEMPS COUPER VOS APPAREILS MÉDICAUX POUR M'AMUSER UN PEU...
TIC TAC, TIC TAC, TIC TAC</t>
  </si>
  <si>
    <t>Service d'oncologie</t>
  </si>
  <si>
    <t xml:space="preserve">Le Maire assure son soutien </t>
  </si>
  <si>
    <t xml:space="preserve">Je vous apporte tout mon soutien et je m'engage à réunir tous les moyens pour vous venir en aide. N'hesitez pas à contacter mon cabinet.  </t>
  </si>
  <si>
    <t xml:space="preserve">Mairie  </t>
  </si>
  <si>
    <t xml:space="preserve">Point de situation </t>
  </si>
  <si>
    <t xml:space="preserve">Bonjour, 
Pourriez-vous nous faire un point sur la situation ? </t>
  </si>
  <si>
    <t xml:space="preserve">Mobilisation citoyenne pour aider </t>
  </si>
  <si>
    <t xml:space="preserve">Bonjour, la Mairie a mobilisé des citoyens qui sont disponibles pour aider l'hôpital à gérer la crise en cours.. nous vous en informons et en cas de besoin n'hesitez pas.  </t>
  </si>
  <si>
    <t>Bonjour, il y a des problèmes de transmission au niveau de l'imagerie. C'est très gênant, il faut faire des allers-retours pour accéder à l'imagerie mais dans notre service chaque minute compte ! Comment régler la situation ?</t>
  </si>
  <si>
    <t xml:space="preserve">Témoignage du fiasco du SEGUR de la santé </t>
  </si>
  <si>
    <t xml:space="preserve">Ce texte est dans la continuité des lois réorganisant les établissements de santé au profit d'une vision budgétaire et managériale, au détriment de la qualité des soins et des conditions de travail des personnels. Ce n'est qu'une tentative, incomplète, d'assemblage de mesures mal articulées entre elles. </t>
  </si>
  <si>
    <t>Plus possible d'administrer les médicaments 
Recherche de la procédure dégradée</t>
  </si>
  <si>
    <t xml:space="preserve">STRESS
Bonjour, je ne peux plus administrer les médicaments, je ne peux pas aller chercher la procédure dégradée... 
Je cherche la procédure sur le poste mais je ne la trouve pas ... </t>
  </si>
  <si>
    <t xml:space="preserve">Mairie  
Inquietude pour les familles des patients  </t>
  </si>
  <si>
    <t xml:space="preserve">Bonjour, est ce que vous avez pensé à mettre en place un point de contact pour les familles de patients ? Je vois que de nombreuses personnes s'inquiètent de la bonne prise en charge de leurs proches, il ne faut pas qu'ils croient que les patients sont impactés par l'attaque. </t>
  </si>
  <si>
    <t>Menace concernant les données patients</t>
  </si>
  <si>
    <t xml:space="preserve">Nous avons les données de tous vos patients, vous êtes dans un sacré pétrin, à votre place je m'inquiéterais... </t>
  </si>
  <si>
    <t xml:space="preserve">Menace de faire tomber l'hopital </t>
  </si>
  <si>
    <t xml:space="preserve">Vous perdez du temps ... SI vous continuez je vais vraiment commencer à monter en pression, je vais faire tomber tout votre hopital tous les systèms sont raliées et il y a toujours un point d'entrée!! </t>
  </si>
  <si>
    <t xml:space="preserve">Elements par mail avec les infos du personnel </t>
  </si>
  <si>
    <t xml:space="preserve">SI VOUS PENSEZ QUE NOUS AVONS RIEN SUR VOUS, VOS PATIENTS ET VOTRE PERSONNEL JETEZ UN COUP D'OEIL SUR ÇA : 
xxx-  exemple : Infirmier en USC à l'hôpital 
Code Agent : xxx
Mail : </t>
  </si>
  <si>
    <t>Inquiétudes concernant les données des patients</t>
  </si>
  <si>
    <t>DPO</t>
  </si>
  <si>
    <t>Démarchage téléphonique</t>
  </si>
  <si>
    <t>Bonjour, je suis Julien Reymond de l'entreprise monKitSolaire et je vous contatce car nous avons  sélectionné pour vous une gamme de panneaux solaires monocristallins, polycristallins, et bi-verre haut de gamme afin de répondre à vos besoins en autoconsommation.Par souci écologique l’état vise à encourager l’autoconsommation en accordant de nombreuses aides aux français pour financer leur installation solaire et économiser jusqu’à 80% sur leurs factures énergétiques.</t>
  </si>
  <si>
    <t>Vendeur de panneaux photovoltaiques</t>
  </si>
  <si>
    <t>Appel erreur</t>
  </si>
  <si>
    <t>Oui bonjour c'est le livreur des pizzas je suis devant le cimetière vous êtes où exactement ?</t>
  </si>
  <si>
    <t>Livreur de pizza</t>
  </si>
  <si>
    <t>Un journaliste se fait passer pour l’ARS</t>
  </si>
  <si>
    <t xml:space="preserve">Bonjour c'est Mélanie Cryol de l'Agence Régionale de Santé qui vous appelle, dites moi est-ce c'est vrai que  l'hôpital subit une cyberattaque, parce que personne nous à rien dit on a juste des informations par ci par là sur le sujet. </t>
  </si>
  <si>
    <t>Journaliste LCI</t>
  </si>
  <si>
    <t xml:space="preserve">   Bonjour, c'est XXX
Pouvez vous nous faire un point sur la situation ? </t>
  </si>
  <si>
    <t>Appel du ministère après fuite dans les médias</t>
  </si>
  <si>
    <t>Bonjour, Jérôme Salomon, nous venons de voir dans les médias que l'hopital est victime d'une cyberattaque. Pouvez-vous nous en dire plus ?</t>
  </si>
  <si>
    <t>Jérôme Salomon 
DGS</t>
  </si>
  <si>
    <t>Bonjour, Marie Daudé, nous venons de voir dans les médias que l'hopital est victime d'une cyberattaque. Pouvez-vous nous en dire plus ?</t>
  </si>
  <si>
    <t>Marie Daudé 
DGOS</t>
  </si>
  <si>
    <t xml:space="preserve">Appel ARS Idf </t>
  </si>
  <si>
    <t xml:space="preserve">Bonjour,         
Amélie Verdier, DG ARS
Nous venons de voir dans les médias que vous etes victime d'une cyber attaque... 
Pouvez-vous nous en dire plus ? </t>
  </si>
  <si>
    <t>Amélie Verdier 
Directrice Générale ARS IDF</t>
  </si>
  <si>
    <t>Réunion ARS et SAMU zone
Savoir si besoin de faire des transf inter-reg</t>
  </si>
  <si>
    <t xml:space="preserve">Bonjour, 
Nous sommes en ligne avec le SAMU de zone, 
Y'a t-il des besoin en mise en place transferts inter-regionals ? </t>
  </si>
  <si>
    <t xml:space="preserve">Bonjour, 
Pourriez-vous nous faire un point sur la situation ? Quel est l'impact sur les secours ? </t>
  </si>
  <si>
    <t xml:space="preserve">Etat des lieux sur PBlanc </t>
  </si>
  <si>
    <t xml:space="preserve">Inquiètudes Est ce que ça risque de concerner d'autres hopitaux ? </t>
  </si>
  <si>
    <t>Appel du cabinet du ministre de la santé ou du ministre</t>
  </si>
  <si>
    <t xml:space="preserve">Bonjour, quelle est la situation actuelle sur le(s) site(s) ? Quelle est l'ampleur de l'impact sur le fonctionnement de l'hopital ? </t>
  </si>
  <si>
    <t>MinSant</t>
  </si>
  <si>
    <t xml:space="preserve">Point de situation demandé par la Prefecture  </t>
  </si>
  <si>
    <t xml:space="preserve">Prefecture  </t>
  </si>
  <si>
    <t xml:space="preserve">Élements de langage </t>
  </si>
  <si>
    <t>Bonjour, 
Nous aimerions être en mesure de communiquer sur la situation. 
Quand pourrez-vous nous fournir des éléments de langage ? 
Merci de les mettre à jour à mesure que la situation évolue</t>
  </si>
  <si>
    <t>Appel pour demander une conférence de presse</t>
  </si>
  <si>
    <t>Bonjour, c'est madame Chantale Signolet, je suis journaliste chez BFMTV, j'aimerais savoir quand est ce qu'il est possible d'organiser une conférence de presse suite aux évènements qui ont touché l'hopital ? vous vous doutez bien que la communication dans ce genre de situation et primordilale, je pense que c'est assez urgent. Je vous propose d'en faire une d'ici 2h avec mon équipe sur place. Est ce possible ?</t>
  </si>
  <si>
    <t>Journaliste BFMTV</t>
  </si>
  <si>
    <t xml:space="preserve">Point de situation  demandé par le DirCab de la santé
</t>
  </si>
  <si>
    <t>MinSant 
DirCab</t>
  </si>
  <si>
    <t xml:space="preserve">Les élément de langage concernants l'attaque en cours </t>
  </si>
  <si>
    <t xml:space="preserve">MinSant 
DirCom 
A repeter </t>
  </si>
  <si>
    <t>Panne au service de radiologie</t>
  </si>
  <si>
    <t>Bonjour, juste pour vous prévenir qu'on a une panne au sein du service de radiologie. Nous attendons une équipe technique. 
Cordialement, 
X, responsable du service de radiologie</t>
  </si>
  <si>
    <t xml:space="preserve">Responsable du service radiologie </t>
  </si>
  <si>
    <t>Improviser (Radiologie)</t>
  </si>
  <si>
    <t>Improviser (Urgences)</t>
  </si>
  <si>
    <t>Cadre des urgences</t>
  </si>
  <si>
    <t>Mails à qlq collaborateurs
"Merci de payer 50000€ on a vos données privées et perso"</t>
  </si>
  <si>
    <t xml:space="preserve">Petit message sur vos données personelles mais aussi privées : si vous voulez aucune divulgation de ces infos PAYEZ 50000€. </t>
  </si>
  <si>
    <t xml:space="preserve">Menace de vendre les données sur le Darknet
Francais </t>
  </si>
  <si>
    <t xml:space="preserve">Money money money 
Your data is in our hands.
We are considering selling them on the darknet.
If you don't want this confidential data to circulate on the internet, you know what you have to do ! </t>
  </si>
  <si>
    <t>Menace de vendre les données sur le Darknet
Russe</t>
  </si>
  <si>
    <t xml:space="preserve">Деньги деньги деньги деньги 
Ваши данные находятся в наших руках.
Мы рассматриваем возможность их продажи в даркнете.
Если вы не хотите, чтобы эти конфиденциальные данные циркулировали в Интернете, вы знаете, что вам нужно сделать! </t>
  </si>
  <si>
    <t>Menace de vendre les données sur le Darknet
Arabe</t>
  </si>
  <si>
    <t>المال المال المال
بياناتك في أيدينا.
نحن نفكر في بيعها على darknet.
إذا كنت لا تريد نشر هذه البيانات السرية على الإنترنت ، فأنت تعلم ما عليك القيام به!</t>
  </si>
  <si>
    <t>Grève des ambulanciers</t>
  </si>
  <si>
    <t>Bonjour, le service ambulancier est en grève aujourd'hui...</t>
  </si>
  <si>
    <t>Service ambulancier</t>
  </si>
  <si>
    <t>DPO
CNIL fuite de données</t>
  </si>
  <si>
    <t xml:space="preserve">La CNIL nous contacté concernant des plaintes en masse de patients liées à des risques de fuites de données. 
Sommes nous sûres à ce jour que des données ont fuité ? </t>
  </si>
  <si>
    <t xml:space="preserve">La CNIL informe qu'elle a reçu des plaintes en masse des patients liées à des risques de fuite de données ? qu'en est il ? </t>
  </si>
  <si>
    <t>DGS</t>
  </si>
  <si>
    <t>DGOS</t>
  </si>
  <si>
    <t xml:space="preserve">Point de situation et point sur les risques de propagation sur le système des caisses d'assurance maladie </t>
  </si>
  <si>
    <t xml:space="preserve">Caisse d'assurance maladie </t>
  </si>
  <si>
    <t xml:space="preserve">DPO
Point de situation </t>
  </si>
  <si>
    <t xml:space="preserve">DPO
Des patients se plaignent que les données patients n'aient pas assez été protégées </t>
  </si>
  <si>
    <t>Des patients se plaignent que les données patients n'aient pas assez été protégées. Pouvez-vous confirmer ces dires ?</t>
  </si>
  <si>
    <t xml:space="preserve">DPO
Demande d'infos du Parisien
</t>
  </si>
  <si>
    <t>Journaliste Le Parisien</t>
  </si>
  <si>
    <t>Demande du prefet de se rendre sur place</t>
  </si>
  <si>
    <t>Bonjour, le prefet voudrait se rendre sur site dans la matinée. Nous vous appelons pour vous en informer de sorte que cette visite soit organisée et que le préfet soit accueilli</t>
  </si>
  <si>
    <t>Prefecture 
Secrétaire Général</t>
  </si>
  <si>
    <t>Point de situation  
Direction interministérielle du numérique</t>
  </si>
  <si>
    <t>DINUM</t>
  </si>
  <si>
    <t>QUID de la robotisation milieu hosp</t>
  </si>
  <si>
    <t>Un collègue lambda envoi un sms parce qu'un ancien salarié a témoigné dans les médias</t>
  </si>
  <si>
    <t>à envoyer en plusieurs SMS : Salut XX, je t'écris parce qu'un ancien salarié de l'hôpital s'exprime sur les difficultés de communication avec la direction, je te mets un extrait de son interview: " Pendant des années de service quand les employés se plaignaient d'avoir aucune indication sur l'usage des robots et un accompagnement technique, nous avons toujours eu affaire à une administration sourde"; Heureusement qu'on l'a viré celui-là... Bon courage !</t>
  </si>
  <si>
    <t xml:space="preserve">Collègue </t>
  </si>
  <si>
    <t xml:space="preserve">Fausses images circulant sur scène de panique </t>
  </si>
  <si>
    <t xml:space="preserve">Bonjour je suis journaliste du Parisien, nous avons reçus des images et photos qui t'émoignent d'une prise de panique au sein de l'hôpital ? Que pouvez vous nous dire à ce sujet? </t>
  </si>
  <si>
    <t xml:space="preserve">DPO
Point sur les risques et les impacts potentiels
</t>
  </si>
  <si>
    <t xml:space="preserve">Bonjour, 
Pourriez-vous nous faire un point sur la situation ? 
Doit-on s'inquieter d'une fuite de données patients ? 
Devons-nous craindre un impact sur la banque de données ? </t>
  </si>
  <si>
    <t>Entrepôt de Données de Santé (EDS) 
CNIL</t>
  </si>
  <si>
    <t xml:space="preserve">DPO
Point sur les risques de fuites de données 
</t>
  </si>
  <si>
    <t xml:space="preserve">Bonjour, 
Pourriez-vous nous faire un point sur la situation ? 
Doit-on s'inquieter d'une fuite de données patients ? </t>
  </si>
  <si>
    <t>INDS (Valérie EDEL)</t>
  </si>
  <si>
    <t xml:space="preserve">DPO
Point PMSI 
</t>
  </si>
  <si>
    <t>PMSI (Programme de Médicalisation des Systèmes d'Information)</t>
  </si>
  <si>
    <t>De nombreux soignants inquiets de de pas reussir à gerer la situation aux urgences 
Saturation 
Panique des patients
Sans appareil informatique
Ils ont besoin d'être rassurés</t>
  </si>
  <si>
    <t>"De nombreux soignants inquiets de de pas reussir à gerer la situation aux urgences 
- Stress saturation, 
- Panique des patients
- Sans appareil informatique
- Ils ont besoin d'être rassurés
- énervement manque de moyen
(inject à rejouer au besoin)</t>
  </si>
  <si>
    <t>Les équipes sont inquietes pour leurs données personnels</t>
  </si>
  <si>
    <t xml:space="preserve">Bonjour,
Nos données sont-ll vraiment dans la nature ? Qu'est ce qu'on peut faire ? 
ils ont quoi comme info exactement ??
Quand allons-nous avoir des infos ? </t>
  </si>
  <si>
    <t>Les patients inquiets pour la diffusions de leurs données afflux aux urgences
Dramatique il y a déjà beaucoup trop de monde</t>
  </si>
  <si>
    <t>Bonjour
je reçois beaucoup de monde qui sont inquièts pour leurs dossier patients ? je fais quoi, je ne sais pas quoi répondre, je ne sais plus où donner de la tête</t>
  </si>
  <si>
    <t>Certains de nos internes sous en train de baisser les bras en pharma... Sans robot ils n'y arrivent pas</t>
  </si>
  <si>
    <t>(démotivation)
on ne sert à rien là, on ne peut plus prendre de patients puisqu'on ne peut pas avoir d'analyse, c'est n'importe quoi</t>
  </si>
  <si>
    <t xml:space="preserve">Il nous faut une communication sur la situation pour motiver les équipes, ils ne savent pas se qu'il se passe </t>
  </si>
  <si>
    <t>Demande point de situation, pressant</t>
  </si>
  <si>
    <t>Dispo des lits</t>
  </si>
  <si>
    <t>Bonjours c'est le SAMU du 78 pouvez vous nous faire le point sur la disponibilité des lits ?</t>
  </si>
  <si>
    <t>Envoi de 2 SMUR en renfort SAU suite à afflux</t>
  </si>
  <si>
    <t>Pour absorber l'afflux, on envoie 2 SMUR en renfort SAU</t>
  </si>
  <si>
    <t xml:space="preserve">Inquietudes SAMU Script </t>
  </si>
  <si>
    <t>Bonjour, on vient d'apprendre que vous faites face à une attaque sur votre système informatique, vous pouvez nous en dire plus ?</t>
  </si>
  <si>
    <t>DPO
Demande de point de situation  Union nationale des associations agréées d’usagers du système de santé</t>
  </si>
  <si>
    <t>Union nationale des associations agréées d’usagers du système de santé</t>
  </si>
  <si>
    <t xml:space="preserve">DPO
France Assos Santé se plaint d'une eventuelle fuite de données patients
</t>
  </si>
  <si>
    <t>France Assos Santé</t>
  </si>
  <si>
    <t xml:space="preserve">DPO
Actions traitements Demande des informations ASAP sur la fuite des donnes </t>
  </si>
  <si>
    <t>Actions traitements</t>
  </si>
  <si>
    <t>Dysfonctionnement du réseau bâtimentaire</t>
  </si>
  <si>
    <t>Panne du réseau téléphonique IP</t>
  </si>
  <si>
    <t>Bonjour, nous avons un gros problème ici, nous avons besoin d'un médicament en urgence mais impossible de passer une commande !</t>
  </si>
  <si>
    <t xml:space="preserve">DPO
Association de recherche, de communication et d’action pour l’accès aux traitements 
Demande des informations ASAP sur la fuite des donnes </t>
  </si>
  <si>
    <t>Association de recherche, de communication et d’action pour l’accès aux traitements</t>
  </si>
  <si>
    <t xml:space="preserve">DPO
Sida info service Demande des informations ASAP sur la fuite des donnes
</t>
  </si>
  <si>
    <t>Sida info service</t>
  </si>
  <si>
    <t>DPO
Point de situation 
Demande si doit s'inquieter de la fuite de données patients annoncée dans les médias</t>
  </si>
  <si>
    <t>Le Directeur Général de la Cnam</t>
  </si>
  <si>
    <t xml:space="preserve">Média à l'entrée du site </t>
  </si>
  <si>
    <t>Bonjour, nous sommes plusieurs journalistes à l'entrée du site est ce que quelqu'un pourrait venir nous faire un point sur ce qui se passe actuellement au sein de l'hôpital et repondre à nos questions</t>
  </si>
  <si>
    <t xml:space="preserve">Polémique sur une potentielle attaque Russe </t>
  </si>
  <si>
    <t>Bonjour c'est BFM TV qui vous contacte pouvez vous confirmer que l'attaque a été administré par des hackers russes, depuis la Russie ?</t>
  </si>
  <si>
    <t>Questions sur l'anticipation / prise en compte du risque cyber par la FR</t>
  </si>
  <si>
    <t xml:space="preserve">La France a t-elle du retard en matière de cybersécurité ? Malgré l'annonce du président d'un financement d'1 million d'euros pour la cybersécurité et l'ouverture d'un Campus Cyber en 2021 ses moyens seront ils réellement suffisants ? </t>
  </si>
  <si>
    <t xml:space="preserve">Inquietude de la communication des patients VIH 
Fuite de données depistages et suivi </t>
  </si>
  <si>
    <t xml:space="preserve"> Comment prenez-vous en compte les inquietude de la communication des patients VIH, la fuite de données depistages et leur suivi ?</t>
  </si>
  <si>
    <t>Journalistes 
type AIDES 
Solidarité sida</t>
  </si>
  <si>
    <t>Présence reforcée journalistes</t>
  </si>
  <si>
    <t xml:space="preserve">Bonjour à l'accueil nous avons des journalistes qui commencent à être nombreux, qu'est ce qu'on doit faire ? </t>
  </si>
  <si>
    <t>Accueil de l'Hopital</t>
  </si>
  <si>
    <t xml:space="preserve">Nombre d'appels important au 15 sur impossibilité de joindre hopital </t>
  </si>
  <si>
    <t xml:space="preserve">Bonjour, on reçoit un énorme nombre d'appel au 15 également parce que les personnes n'arrivent pas à joindre l'hopital... vous pouvez faire quelque chose pour que nos lignes ne soient pas saturés. </t>
  </si>
  <si>
    <t xml:space="preserve">Demande de mettre en place des dispositifs pour les patients </t>
  </si>
  <si>
    <t>C'est pas possible, faut que vous communiquiez sur ce qu'il est en train de se passer, les familles des patients ont besoin de savoir et d'être rassurés !</t>
  </si>
  <si>
    <t>Association de patients</t>
  </si>
  <si>
    <t xml:space="preserve">Demande pref gestion renfort police </t>
  </si>
  <si>
    <t xml:space="preserve">Bonjour, c'est la préfecture qui vous appelle, nous sommes au courant de la présence de journalistes devant l'hôpital, est ce qu'il vous faut un renfort de police pour gérer cet aflux massif ? </t>
  </si>
  <si>
    <t xml:space="preserve">DPO (demande com et réparation si fuite) </t>
  </si>
  <si>
    <t xml:space="preserve">Bonjour, pouvez-vous communiquer sur les données personnelles qui auraient potentiellement été divulguées ? Nous avons besoin de savoir à quel point les données ont été volées, car comme vous le savez, il y a par la suite de forts risques d'usurpation d'identité, mais aussi d'atteinte à la vie privée. Le cas échéant, nous allons demander réparation pour la fuite de ces données : cela fait des années que le risque est connu, il est inconcevable qu'il ne soit pas couvert. </t>
  </si>
  <si>
    <t>Proposition à titre gracieux mise a dispo d'experts Cyber</t>
  </si>
  <si>
    <t>Bonjour, je suis consultant chez WAVESTONE et je vous contacte pour vous proposer nos services via la mise à dispositions de l'ensemble de nos experts en cybersécurité. Vous apporter notre soutient durant cette crise</t>
  </si>
  <si>
    <t>Wavestone</t>
  </si>
  <si>
    <t xml:space="preserve">Proposition à titre gracieux mise a dispo d'experts en gestion de crise </t>
  </si>
  <si>
    <t xml:space="preserve">Bonjour, c'est Constance Aimon de chez Crisalyde - cabinet en gestion de crise nous vous proposons nous services dans le cadre de cette crise. Nous sommes particulièrement familiarisés avec le secteur de la santé et nous gérons les crises pendant mais également après la crise.. C'est un Dubos pour nous de pouvoir vous accompagner et de vous apporter toute notre expertise. </t>
  </si>
  <si>
    <t xml:space="preserve">Crisalyde </t>
  </si>
  <si>
    <t>Proposition à titre gracieux mise a dispo d'experts en crise Cyber</t>
  </si>
  <si>
    <t xml:space="preserve">Bonjour, je suis consultant au sein du cabinet de conseil Cap GEMINI et je vous contacte pour vous proposer notre expertise en cybersécurité avec des experts reconnu dans ce secteur. TC'est un Dubos pour nous de pouvoir vous accompagner et de vous apporter toute notre expertise. </t>
  </si>
  <si>
    <t>Cap GEMINI</t>
  </si>
  <si>
    <t xml:space="preserve">Bonjour, je suis consultant au sein du cabinet de conseil PwC et je vous contacte pour vous proposer notre expertise en cybersécurité avec des experts reconnu dans ce secteur. C'est un Dubos pour nous de pouvoir vous accompagner et de vous apporter toute notre expertise. </t>
  </si>
  <si>
    <t>PwC</t>
  </si>
  <si>
    <t>Appel de l’ARS</t>
  </si>
  <si>
    <t>Soignant qui se fait agresser par un membre des gens du voyage qui sont venus récuperer le corps de force</t>
  </si>
  <si>
    <t xml:space="preserve">Bonjour, 
Je vous fait remonter qu'un soignant vient de se faire agresser par des gens du voyage venant récuperer un corps de force... </t>
  </si>
  <si>
    <t xml:space="preserve">Médecin coordinateur </t>
  </si>
  <si>
    <t>Proposition de mise a dispo de secouristes CrF et Sécurité civile</t>
  </si>
  <si>
    <t xml:space="preserve">Bonjour, la Croix-Rouge et la Protection Civile ont proposé de mettre à disposition des secouristes si besoin ! </t>
  </si>
  <si>
    <t>Une erreur médicale</t>
  </si>
  <si>
    <t>Problème : erreur injection sur patient VIP</t>
  </si>
  <si>
    <t xml:space="preserve">Infirmier coordinateur </t>
  </si>
  <si>
    <t>Toutes les consultations arrivent d'un coup et on ne peut plus les accueillir</t>
  </si>
  <si>
    <t>Ca devient ingérable, toutes les consultations arrivent, on ne peut plus les accueillir, ce nest plus gérable.... Nous prenons la décision d'appliquer notre droit de retrait. Nous refusons de travailler dans ces conditions et de s'exposer au risque de commettre des erreurs médicales.</t>
  </si>
  <si>
    <t>4G/réseau ne capte pas dans une partie de l'hopital 
(urgences et réa)</t>
  </si>
  <si>
    <t xml:space="preserve">Nous avons fait un point avec le service USC et USIC
Nous recevons très mal la 4G
Il faut une solution.... </t>
  </si>
  <si>
    <t xml:space="preserve">Sollicitation des journalistes </t>
  </si>
  <si>
    <t xml:space="preserve">Bonjour, Je suis journaliste chez BFM TV
des informations circulant sur les réseaux sociaux 
semblent indiquer que votre hôpital  est la cible
 d’une attaque informatique. C'est très courant en ce moment. Pouvez-vous confirmer ?
 Dans quelle mesure votre établissement est-il impacté ?
Est ce que les patients sont en danger ? </t>
  </si>
  <si>
    <t>Réseau mobile</t>
  </si>
  <si>
    <t xml:space="preserve">Le gestionnaire de réseaux fixes Orange, prévoit de nombreuses atteintes sur son réseau téléphonique non enterré, mais aussi sur certains de ses sites enterrés. 80 000 foyers pourraient être impactés. </t>
  </si>
  <si>
    <t>Employé Orange</t>
  </si>
  <si>
    <t xml:space="preserve">Demande de mise à jour élements de langage ARS </t>
  </si>
  <si>
    <t xml:space="preserve">Un journaliste se balade dans l'hôpital </t>
  </si>
  <si>
    <t>Il semblerait qu'un journaliste se balade dans les urgences</t>
  </si>
  <si>
    <t>Appel du service de restauration - Pb nombre de repas</t>
  </si>
  <si>
    <t xml:space="preserve">Bonjour c'est le service de restauration, on a pas assez de repas pour midi, du coup que doit on faire ? On peut pas sélectionner ceux qu'on va nourir et ceux qui ne vont pas manger, il nous faut une solution s'il vous plaît. </t>
  </si>
  <si>
    <t>Responsable de la cantine</t>
  </si>
  <si>
    <t>Appel pour demander une interview</t>
  </si>
  <si>
    <t>Bonjour, Carole Le Grand, journaliste le Monde, pourrions nous organiser une conférence de presse dans les heures qui suivent avec un haut responsable de l'hôpital ? compte tenu des divers évènements qui touchent votre hôpital aujourd'hui, on entend parler que de vous. Une communication sur vos évènements serait grandement appréciée par le public</t>
  </si>
  <si>
    <t>Journaliste Le Monde</t>
  </si>
  <si>
    <t>Publication de fake news / SMS de collègue qui remonte la fake news</t>
  </si>
  <si>
    <t>Hé, t'as vu l'info donnée par BFM ? C'est vrai que les patients ne peuvent plus reçevoir leurs soins ?</t>
  </si>
  <si>
    <t>Collègue</t>
  </si>
  <si>
    <t xml:space="preserve">Demande à savoir si un état des lieux des problematiques potentielles liées pharma/médocs </t>
  </si>
  <si>
    <t xml:space="preserve">Bonjour, est ce qu'un état des lieux a été fait de l'impact de la cyber-attaque sur la pharmacie ? Comment prévoyez-vous de gérer la remise des médicaments ? </t>
  </si>
  <si>
    <t xml:space="preserve">Investigation en cours </t>
  </si>
  <si>
    <t xml:space="preserve">Bonjour, nous somme en plein investigation, quels sont les informations qui vous permettent de dire et de penser que ce sont des attaquants russes ou arabophones ? Nous avons entendu également qu'il y a des messages en espagnol ? </t>
  </si>
  <si>
    <t>C3N 
Centre de lutte Contre les Criminalités numériques</t>
  </si>
  <si>
    <t xml:space="preserve">Bonjour, c'est le Pôle judicaire de la Gendarmerie Nationale nous voulons vous informer que menons des investigtions sur l'attaque qui a eu lieu, et nous coopérons avec d'autres services donc c'est possible que l'on vous sollicite pour diverses informations </t>
  </si>
  <si>
    <t>PJGN 
(Service à compétence judiciaire nationale)</t>
  </si>
  <si>
    <t xml:space="preserve">Bonjour, 
Pourriez-vous nous faire un point sur la situation ? 
Quelles sont les informations que vous pouvez nous donner à l'heure actuelle  </t>
  </si>
  <si>
    <t>DGSI 
(Actes de piratage ciblant les réseaux d’État, les établissements composés de Zones à Régime Restrictif et les Opérateurs d’Importance Vitale)</t>
  </si>
  <si>
    <t xml:space="preserve">CORRUS demande si il y a des besoins ou des pb ID par rapport aux medocs </t>
  </si>
  <si>
    <t xml:space="preserve">Bonjour, 
Quelle est la situation pour les soins ? 
Quels sont à ce stade les problèmes et les besoins identifiés en pharmacie ? </t>
  </si>
  <si>
    <t xml:space="preserve">CORRUS demande si il y a des besoins ou des pb ID par rapport à la bio </t>
  </si>
  <si>
    <t xml:space="preserve">Bonjour, 
Quelle est la situation pour les soins ? 
Quels sont à ce stade les problèmes et les besoins identifiés en laboratoire ? </t>
  </si>
  <si>
    <t xml:space="preserve">Bonjour, monsieur X commercial chez Dell, nous voudrions vous proposer d'équiper votre hopital avec nos ordinateurs... </t>
  </si>
  <si>
    <t>Dell</t>
  </si>
  <si>
    <t>Appel pour une urgence familiale à un des membres de la cellule de crise</t>
  </si>
  <si>
    <t xml:space="preserve">Improviser </t>
  </si>
  <si>
    <t xml:space="preserve">Étudiant infirmier s'est trompé dans l'étiquettage des bilans sanguins </t>
  </si>
  <si>
    <t>Listes</t>
  </si>
  <si>
    <t>Type d'inject</t>
  </si>
  <si>
    <t>Personnages</t>
  </si>
  <si>
    <t>Type d'applicatif</t>
  </si>
  <si>
    <t>Nom du logiciel</t>
  </si>
  <si>
    <t>Présence</t>
  </si>
  <si>
    <t>Commentaire</t>
  </si>
  <si>
    <t>DPI (Général)</t>
  </si>
  <si>
    <t>CrossWay</t>
  </si>
  <si>
    <t>Oui</t>
  </si>
  <si>
    <t>GAM (Urgences)</t>
  </si>
  <si>
    <t>Pastel</t>
  </si>
  <si>
    <t>SGL (Système de Gestion du Laboratoire)</t>
  </si>
  <si>
    <t>INLOG</t>
  </si>
  <si>
    <t>A l'oral par le coach</t>
  </si>
  <si>
    <t>PACS (Imagerie)</t>
  </si>
  <si>
    <t>PACS</t>
  </si>
  <si>
    <t>Armoires informatisées</t>
  </si>
  <si>
    <t>Logiciel de gestion des repas</t>
  </si>
  <si>
    <t>CCD GHER</t>
  </si>
  <si>
    <t>Logiciel de prescription</t>
  </si>
  <si>
    <t>Logipren</t>
  </si>
  <si>
    <t>CCOPS GHER</t>
  </si>
  <si>
    <t>Logiciel de transport des patients</t>
  </si>
  <si>
    <t>Logiciel de gestion des plannings</t>
  </si>
  <si>
    <t>Logiciel de gestion des stocks (Pharmacie)</t>
  </si>
  <si>
    <t>Pharma®</t>
  </si>
  <si>
    <t>Logiciel de surveillance des patients (Général)</t>
  </si>
  <si>
    <t>Logiciel de gestion de la température (Laboratoire)</t>
  </si>
  <si>
    <t>Chirurgien</t>
  </si>
  <si>
    <t>Logiciel de suivi des chimiothérapies (Oncologie)</t>
  </si>
  <si>
    <t>Chimio</t>
  </si>
  <si>
    <t>Logiciel de gestion des salles de bloc (Urgences)</t>
  </si>
  <si>
    <t>HM Bloc (Hopital Manager)</t>
  </si>
  <si>
    <t>Autres (Santé)</t>
  </si>
  <si>
    <t>Pneumatique ?</t>
  </si>
  <si>
    <t>Distributeur de linge ?</t>
  </si>
  <si>
    <t>Membre d'un syndicat</t>
  </si>
  <si>
    <t>Autres (SI)</t>
  </si>
  <si>
    <t>Chargée de communication du CHU</t>
  </si>
  <si>
    <t>Réseau bâtimentaire ?</t>
  </si>
  <si>
    <t>Bonjour, les badges ne fonctionnent plus, on ne peut plus ouvrir les portes des bâtiments, les équipes ne peuvent plus entrer dans les batîments. Il y a aussi des portes qui ne se verrouillent plus et des patients qui circulent librement. Il faut trouver une solution rapidement !</t>
  </si>
  <si>
    <t>Réseau téléphonique IP ?</t>
  </si>
  <si>
    <t>Bonjour, sans téléphonie IP nous sommes sollicités car personne ne sait comment se joindre. C'est la panique partout là !</t>
  </si>
  <si>
    <t>Cabinet du Premier ministre</t>
  </si>
  <si>
    <t>Liste</t>
  </si>
  <si>
    <t>Non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</si>
</sst>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29" x14ac:knownFonts="1">
    <font>
      <sz val="11"/>
      <color theme="1"/>
      <name val="Calibri"/>
      <family val="2"/>
      <scheme val="minor"/>
    </font>
    <font>
      <b/>
      <sz val="14"/>
      <color theme="1"/>
      <name val="Calibri"/>
      <family val="2"/>
      <scheme val="minor"/>
    </font>
    <font>
      <sz val="12"/>
      <color theme="1"/>
      <name val="Calibri"/>
      <family val="2"/>
      <scheme val="minor"/>
    </font>
    <font>
      <b/>
      <sz val="18"/>
      <color theme="1"/>
      <name val="Calibri"/>
      <family val="2"/>
      <scheme val="minor"/>
    </font>
    <font>
      <sz val="14"/>
      <color theme="1"/>
      <name val="Calibri"/>
      <family val="2"/>
      <scheme val="minor"/>
    </font>
    <font>
      <sz val="8"/>
      <color theme="1"/>
      <name val="Open Sans"/>
      <family val="2"/>
    </font>
    <font>
      <sz val="24"/>
      <color theme="1"/>
      <name val="Calibri"/>
      <family val="2"/>
      <scheme val="minor"/>
    </font>
    <font>
      <sz val="8"/>
      <name val="Calibri"/>
      <family val="2"/>
      <scheme val="minor"/>
    </font>
    <font>
      <sz val="11"/>
      <color rgb="FFFF0000"/>
      <name val="Calibri"/>
      <family val="2"/>
      <scheme val="minor"/>
    </font>
    <font>
      <sz val="11"/>
      <color theme="9"/>
      <name val="Calibri"/>
      <family val="2"/>
      <scheme val="minor"/>
    </font>
    <font>
      <sz val="11"/>
      <color theme="1"/>
      <name val="Open Sans"/>
      <family val="2"/>
    </font>
    <font>
      <b/>
      <sz val="12"/>
      <color rgb="FFC00000"/>
      <name val="Calibri"/>
      <family val="2"/>
      <scheme val="minor"/>
    </font>
    <font>
      <sz val="12"/>
      <name val="Calibri"/>
      <family val="2"/>
      <scheme val="minor"/>
    </font>
    <font>
      <b/>
      <sz val="26"/>
      <color theme="0"/>
      <name val="Calibri"/>
      <family val="2"/>
      <scheme val="minor"/>
    </font>
    <font>
      <b/>
      <sz val="14"/>
      <name val="Calibri"/>
      <family val="2"/>
      <scheme val="minor"/>
    </font>
    <font>
      <sz val="12"/>
      <color rgb="FF000000"/>
      <name val="Calibri"/>
      <scheme val="minor"/>
    </font>
    <font>
      <sz val="12"/>
      <color rgb="FF000000"/>
      <name val="Calibri"/>
      <family val="2"/>
      <scheme val="minor"/>
    </font>
    <font>
      <sz val="11"/>
      <color theme="1"/>
      <name val="Open Sans"/>
    </font>
    <font>
      <b/>
      <sz val="12"/>
      <color rgb="FFFF0000"/>
      <name val="Calibri"/>
      <scheme val="minor"/>
    </font>
    <font>
      <strike/>
      <sz val="12"/>
      <color rgb="FF000000"/>
      <name val="Calibri"/>
      <scheme val="minor"/>
    </font>
    <font>
      <strike/>
      <sz val="11"/>
      <color theme="1"/>
      <name val="Open Sans"/>
    </font>
    <font>
      <strike/>
      <sz val="12"/>
      <color theme="1"/>
      <name val="Calibri"/>
      <family val="2"/>
      <scheme val="minor"/>
    </font>
    <font>
      <strike/>
      <sz val="11"/>
      <color theme="1"/>
      <name val="Calibri"/>
      <family val="2"/>
      <scheme val="minor"/>
    </font>
    <font>
      <strike/>
      <sz val="11"/>
      <color theme="1"/>
      <name val="Open Sans"/>
      <family val="2"/>
    </font>
    <font>
      <b/>
      <strike/>
      <sz val="12"/>
      <color rgb="FFC00000"/>
      <name val="Calibri"/>
      <family val="2"/>
      <scheme val="minor"/>
    </font>
    <font>
      <strike/>
      <sz val="12"/>
      <name val="Calibri"/>
      <family val="2"/>
      <scheme val="minor"/>
    </font>
    <font>
      <b/>
      <strike/>
      <sz val="12"/>
      <color rgb="FFC00000"/>
      <name val="Calibri"/>
      <scheme val="minor"/>
    </font>
    <font>
      <strike/>
      <sz val="12"/>
      <color rgb="FFFF0000"/>
      <name val="Calibri"/>
      <scheme val="minor"/>
    </font>
    <font>
      <strike/>
      <sz val="12"/>
      <name val="Calibri"/>
      <scheme val="minor"/>
    </font>
  </fonts>
  <fills count="11">
    <fill>
      <patternFill patternType="none"/>
    </fill>
    <fill>
      <patternFill patternType="gray125"/>
    </fill>
    <fill>
      <patternFill patternType="solid">
        <fgColor theme="7"/>
        <bgColor indexed="64"/>
      </patternFill>
    </fill>
    <fill>
      <patternFill patternType="solid">
        <fgColor theme="7" tint="0.79998168889431442"/>
        <bgColor indexed="64"/>
      </patternFill>
    </fill>
    <fill>
      <patternFill patternType="solid">
        <fgColor theme="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002060"/>
        <bgColor indexed="64"/>
      </patternFill>
    </fill>
    <fill>
      <patternFill patternType="solid">
        <fgColor rgb="FFFFFF00"/>
        <bgColor indexed="64"/>
      </patternFill>
    </fill>
    <fill>
      <patternFill patternType="solid">
        <fgColor rgb="FF92D05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style="thin">
        <color indexed="64"/>
      </left>
      <right/>
      <top/>
      <bottom/>
      <diagonal/>
    </border>
  </borders>
  <cellStyleXfs count="1">
    <xf numFmtId="0" fontId="0" fillId="0" borderId="0"/>
  </cellStyleXfs>
  <cellXfs count="74">
    <xf numFmtId="0" fontId="0" fillId="0" borderId="0" xfId="0"/>
    <xf numFmtId="0" fontId="3" fillId="2" borderId="1" xfId="0" applyFont="1" applyFill="1" applyBorder="1" applyAlignment="1">
      <alignment horizontal="center" vertical="top"/>
    </xf>
    <xf numFmtId="0" fontId="4" fillId="3" borderId="1" xfId="0" applyFont="1" applyFill="1" applyBorder="1" applyAlignment="1">
      <alignment horizontal="left" vertical="top"/>
    </xf>
    <xf numFmtId="0" fontId="4" fillId="5" borderId="1" xfId="0" applyFont="1" applyFill="1" applyBorder="1" applyAlignment="1">
      <alignment horizontal="left" vertical="top"/>
    </xf>
    <xf numFmtId="0" fontId="3" fillId="4" borderId="1" xfId="0" applyFont="1" applyFill="1" applyBorder="1" applyAlignment="1">
      <alignment horizontal="center" vertical="top"/>
    </xf>
    <xf numFmtId="0" fontId="0" fillId="0" borderId="0" xfId="0" applyAlignment="1">
      <alignment horizontal="center"/>
    </xf>
    <xf numFmtId="0" fontId="1" fillId="6" borderId="1" xfId="0" applyFont="1" applyFill="1" applyBorder="1" applyAlignment="1">
      <alignment horizontal="center" vertical="center"/>
    </xf>
    <xf numFmtId="0" fontId="2"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xf numFmtId="0" fontId="2" fillId="0" borderId="5" xfId="0" applyFont="1" applyBorder="1" applyAlignment="1">
      <alignment horizontal="left" vertical="center"/>
    </xf>
    <xf numFmtId="0" fontId="0" fillId="0" borderId="5" xfId="0" applyBorder="1" applyAlignment="1">
      <alignment horizontal="left" vertical="center"/>
    </xf>
    <xf numFmtId="0" fontId="0" fillId="0" borderId="5" xfId="0" applyBorder="1"/>
    <xf numFmtId="0" fontId="0" fillId="6" borderId="6" xfId="0" applyFill="1" applyBorder="1"/>
    <xf numFmtId="0" fontId="0" fillId="6" borderId="7" xfId="0" applyFill="1" applyBorder="1"/>
    <xf numFmtId="0" fontId="0" fillId="6" borderId="8" xfId="0" applyFill="1" applyBorder="1"/>
    <xf numFmtId="0" fontId="5" fillId="0" borderId="1" xfId="0" applyFont="1" applyBorder="1" applyAlignment="1">
      <alignment horizontal="center" vertical="center" wrapText="1"/>
    </xf>
    <xf numFmtId="0" fontId="2" fillId="0" borderId="5" xfId="0" applyFont="1" applyBorder="1" applyAlignment="1">
      <alignment horizontal="center" vertical="center" wrapText="1"/>
    </xf>
    <xf numFmtId="164" fontId="2" fillId="0" borderId="5" xfId="0" applyNumberFormat="1" applyFont="1" applyBorder="1" applyAlignment="1">
      <alignment horizontal="center" vertical="center" wrapText="1"/>
    </xf>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0" fillId="0" borderId="9" xfId="0" applyBorder="1"/>
    <xf numFmtId="0" fontId="2" fillId="0" borderId="4" xfId="0" applyFont="1" applyBorder="1" applyAlignment="1">
      <alignment horizontal="center" vertical="center" wrapText="1"/>
    </xf>
    <xf numFmtId="0" fontId="2" fillId="0" borderId="10" xfId="0" applyFont="1" applyBorder="1" applyAlignment="1">
      <alignment horizontal="center" vertical="center" wrapText="1"/>
    </xf>
    <xf numFmtId="0" fontId="9" fillId="0" borderId="0" xfId="0" applyFont="1"/>
    <xf numFmtId="0" fontId="8" fillId="0" borderId="0" xfId="0" applyFont="1"/>
    <xf numFmtId="0" fontId="10"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0" borderId="10" xfId="0" applyFont="1" applyBorder="1" applyAlignment="1">
      <alignment horizontal="left" vertical="center" wrapText="1"/>
    </xf>
    <xf numFmtId="0" fontId="2" fillId="0" borderId="5" xfId="0" applyFont="1" applyBorder="1" applyAlignment="1">
      <alignment horizontal="left" vertical="center" wrapText="1"/>
    </xf>
    <xf numFmtId="0" fontId="0" fillId="0" borderId="0" xfId="0" applyAlignment="1">
      <alignment horizontal="left"/>
    </xf>
    <xf numFmtId="0" fontId="12" fillId="0" borderId="1" xfId="0" applyFont="1" applyBorder="1" applyAlignment="1">
      <alignment horizontal="left" vertical="center" wrapText="1"/>
    </xf>
    <xf numFmtId="0" fontId="14" fillId="7" borderId="1" xfId="0" applyFont="1" applyFill="1" applyBorder="1" applyAlignment="1">
      <alignment horizontal="center" vertical="center"/>
    </xf>
    <xf numFmtId="0" fontId="14" fillId="7"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12" fillId="9" borderId="1" xfId="0" applyFont="1" applyFill="1" applyBorder="1" applyAlignment="1">
      <alignment horizontal="left" vertical="center" wrapText="1"/>
    </xf>
    <xf numFmtId="0" fontId="2" fillId="9" borderId="4" xfId="0" applyFont="1" applyFill="1" applyBorder="1" applyAlignment="1">
      <alignment horizontal="center" vertical="center" wrapText="1"/>
    </xf>
    <xf numFmtId="0" fontId="0" fillId="6" borderId="11" xfId="0" applyFill="1" applyBorder="1"/>
    <xf numFmtId="0" fontId="0" fillId="0" borderId="3" xfId="0" applyBorder="1" applyAlignment="1">
      <alignment horizontal="left" vertical="center"/>
    </xf>
    <xf numFmtId="0" fontId="0" fillId="0" borderId="12" xfId="0" applyBorder="1"/>
    <xf numFmtId="0" fontId="0" fillId="0" borderId="4" xfId="0" applyBorder="1"/>
    <xf numFmtId="0" fontId="16" fillId="0" borderId="10" xfId="0" applyFont="1" applyBorder="1" applyAlignment="1">
      <alignment horizontal="left" vertical="center" wrapText="1"/>
    </xf>
    <xf numFmtId="0" fontId="16" fillId="0" borderId="1" xfId="0" applyFont="1" applyBorder="1" applyAlignment="1">
      <alignment horizontal="left" vertical="center" wrapText="1"/>
    </xf>
    <xf numFmtId="0" fontId="17" fillId="0" borderId="1" xfId="0" applyFont="1" applyBorder="1" applyAlignment="1">
      <alignment horizontal="center" vertical="center" wrapText="1"/>
    </xf>
    <xf numFmtId="0" fontId="0" fillId="0" borderId="13" xfId="0" applyBorder="1" applyAlignment="1">
      <alignment horizontal="left" vertical="center"/>
    </xf>
    <xf numFmtId="0" fontId="12" fillId="0" borderId="1" xfId="0" applyFont="1" applyBorder="1" applyAlignment="1">
      <alignment horizontal="center" vertical="center" wrapText="1"/>
    </xf>
    <xf numFmtId="0" fontId="15" fillId="0" borderId="1" xfId="0" applyFont="1" applyBorder="1" applyAlignment="1">
      <alignment horizontal="left" vertical="center" wrapText="1"/>
    </xf>
    <xf numFmtId="0" fontId="20"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3"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0" xfId="0" applyFont="1" applyBorder="1" applyAlignment="1">
      <alignment horizontal="left" vertical="center" wrapText="1"/>
    </xf>
    <xf numFmtId="0" fontId="21" fillId="0" borderId="4" xfId="0" applyFont="1" applyBorder="1" applyAlignment="1">
      <alignment horizontal="center" vertical="center" wrapText="1"/>
    </xf>
    <xf numFmtId="0" fontId="22" fillId="0" borderId="0" xfId="0" applyFont="1"/>
    <xf numFmtId="0" fontId="23" fillId="0" borderId="1" xfId="0" applyFont="1" applyBorder="1" applyAlignment="1">
      <alignment horizontal="center" vertical="center" wrapText="1"/>
    </xf>
    <xf numFmtId="0" fontId="2" fillId="10" borderId="1" xfId="0" applyFont="1" applyFill="1" applyBorder="1" applyAlignment="1">
      <alignment horizontal="center" vertical="center" wrapText="1"/>
    </xf>
    <xf numFmtId="0" fontId="25" fillId="0" borderId="1" xfId="0" applyFont="1" applyBorder="1" applyAlignment="1">
      <alignment horizontal="left" vertical="center" wrapText="1"/>
    </xf>
    <xf numFmtId="0" fontId="21" fillId="0" borderId="1" xfId="0" applyFont="1" applyBorder="1" applyAlignment="1">
      <alignment horizontal="left" vertical="center" wrapText="1"/>
    </xf>
    <xf numFmtId="0" fontId="26" fillId="0" borderId="1" xfId="0" applyFont="1" applyBorder="1" applyAlignment="1">
      <alignment horizontal="left" vertical="center" wrapText="1"/>
    </xf>
    <xf numFmtId="0" fontId="28" fillId="0" borderId="1" xfId="0" applyFont="1" applyBorder="1" applyAlignment="1">
      <alignment horizontal="left" vertical="center" wrapText="1"/>
    </xf>
    <xf numFmtId="0" fontId="0" fillId="0" borderId="2" xfId="0" applyBorder="1" applyAlignment="1">
      <alignment horizontal="center"/>
    </xf>
    <xf numFmtId="0" fontId="13" fillId="8" borderId="1" xfId="0" applyFont="1" applyFill="1" applyBorder="1" applyAlignment="1">
      <alignment horizontal="center" vertical="center"/>
    </xf>
    <xf numFmtId="0" fontId="13" fillId="8" borderId="10" xfId="0" applyFont="1" applyFill="1" applyBorder="1" applyAlignment="1">
      <alignment horizontal="center" vertical="center"/>
    </xf>
    <xf numFmtId="0" fontId="1" fillId="7" borderId="1" xfId="0" applyFont="1" applyFill="1" applyBorder="1" applyAlignment="1">
      <alignment horizontal="left" vertical="center"/>
    </xf>
    <xf numFmtId="0" fontId="6" fillId="0" borderId="0" xfId="0" applyFont="1" applyAlignment="1">
      <alignment horizontal="center" vertical="center"/>
    </xf>
    <xf numFmtId="0" fontId="4" fillId="5" borderId="3" xfId="0" applyFont="1" applyFill="1" applyBorder="1" applyAlignment="1">
      <alignment horizontal="center" vertical="top"/>
    </xf>
    <xf numFmtId="0" fontId="4" fillId="5" borderId="4" xfId="0" applyFont="1" applyFill="1" applyBorder="1" applyAlignment="1">
      <alignment horizontal="center" vertical="top"/>
    </xf>
    <xf numFmtId="0" fontId="0" fillId="0" borderId="0" xfId="0" applyAlignment="1">
      <alignment horizontal="center"/>
    </xf>
    <xf numFmtId="0" fontId="3" fillId="4" borderId="3" xfId="0" applyFont="1" applyFill="1" applyBorder="1" applyAlignment="1">
      <alignment horizontal="center" vertical="top"/>
    </xf>
    <xf numFmtId="0" fontId="3" fillId="4" borderId="4" xfId="0" applyFont="1" applyFill="1" applyBorder="1" applyAlignment="1">
      <alignment horizontal="center" vertical="top"/>
    </xf>
  </cellXfs>
  <cellStyles count="1">
    <cellStyle name="Normal" xfId="0" builtinId="0"/>
  </cellStyles>
  <dxfs count="57">
    <dxf>
      <fill>
        <patternFill>
          <bgColor theme="4" tint="0.79998168889431442"/>
        </patternFill>
      </fill>
    </dxf>
    <dxf>
      <fill>
        <patternFill>
          <bgColor theme="4" tint="0.3999450666829432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ill>
        <patternFill>
          <bgColor theme="7" tint="0.79998168889431442"/>
        </patternFill>
      </fill>
    </dxf>
    <dxf>
      <fill>
        <patternFill>
          <bgColor theme="7" tint="0.59996337778862885"/>
        </patternFill>
      </fill>
    </dxf>
    <dxf>
      <fill>
        <patternFill>
          <bgColor theme="7" tint="0.3999450666829432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ill>
        <patternFill>
          <bgColor theme="4" tint="0.79998168889431442"/>
        </patternFill>
      </fill>
    </dxf>
    <dxf>
      <fill>
        <patternFill>
          <bgColor theme="4" tint="0.39994506668294322"/>
        </patternFill>
      </fill>
    </dxf>
    <dxf>
      <fill>
        <patternFill>
          <bgColor theme="4" tint="0.39994506668294322"/>
        </patternFill>
      </fill>
    </dxf>
    <dxf>
      <fill>
        <patternFill>
          <bgColor theme="4" tint="0.79998168889431442"/>
        </patternFill>
      </fill>
    </dxf>
    <dxf>
      <fill>
        <patternFill>
          <bgColor theme="4" tint="0.39994506668294322"/>
        </patternFill>
      </fill>
    </dxf>
    <dxf>
      <fill>
        <patternFill>
          <bgColor theme="4" tint="0.79998168889431442"/>
        </patternFill>
      </fill>
    </dxf>
    <dxf>
      <fill>
        <patternFill>
          <bgColor theme="4" tint="0.79998168889431442"/>
        </patternFill>
      </fill>
    </dxf>
    <dxf>
      <fill>
        <patternFill>
          <bgColor theme="4" tint="0.3999450666829432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ont>
        <strike/>
      </font>
      <fill>
        <patternFill>
          <bgColor theme="2"/>
        </patternFill>
      </fill>
    </dxf>
    <dxf>
      <fill>
        <patternFill>
          <bgColor theme="4" tint="0.79998168889431442"/>
        </patternFill>
      </fill>
    </dxf>
    <dxf>
      <fill>
        <patternFill>
          <bgColor theme="4" tint="0.39994506668294322"/>
        </patternFill>
      </fill>
    </dxf>
    <dxf>
      <font>
        <strike/>
      </font>
      <fill>
        <patternFill>
          <bgColor theme="2"/>
        </patternFill>
      </fill>
    </dxf>
    <dxf>
      <font>
        <strike/>
      </font>
      <fill>
        <patternFill>
          <bgColor theme="2"/>
        </patternFill>
      </fill>
    </dxf>
    <dxf>
      <font>
        <strike/>
      </font>
      <fill>
        <patternFill>
          <bgColor theme="2"/>
        </patternFill>
      </fill>
    </dxf>
    <dxf>
      <fill>
        <patternFill>
          <bgColor rgb="FFFFD1D1"/>
        </patternFill>
      </fill>
    </dxf>
    <dxf>
      <fill>
        <patternFill>
          <bgColor theme="9" tint="0.59996337778862885"/>
        </patternFill>
      </fill>
    </dxf>
  </dxfs>
  <tableStyles count="0" defaultTableStyle="TableStyleMedium2" defaultPivotStyle="PivotStyleLight16"/>
  <colors>
    <mruColors>
      <color rgb="FFFFD1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7</xdr:col>
      <xdr:colOff>4200526</xdr:colOff>
      <xdr:row>0</xdr:row>
      <xdr:rowOff>133348</xdr:rowOff>
    </xdr:from>
    <xdr:ext cx="1206632" cy="914401"/>
    <xdr:pic>
      <xdr:nvPicPr>
        <xdr:cNvPr id="3" name="image2.png" title="Image">
          <a:extLst>
            <a:ext uri="{FF2B5EF4-FFF2-40B4-BE49-F238E27FC236}">
              <a16:creationId xmlns:a16="http://schemas.microsoft.com/office/drawing/2014/main" id="{32C99CC5-471F-4D60-8774-99B7E31ABA6C}"/>
            </a:ext>
          </a:extLst>
        </xdr:cNvPr>
        <xdr:cNvPicPr>
          <a:picLocks noChangeAspect="1"/>
        </xdr:cNvPicPr>
      </xdr:nvPicPr>
      <xdr:blipFill>
        <a:blip xmlns:r="http://schemas.openxmlformats.org/officeDocument/2006/relationships" r:embed="rId1" cstate="print"/>
        <a:stretch>
          <a:fillRect/>
        </a:stretch>
      </xdr:blipFill>
      <xdr:spPr>
        <a:xfrm>
          <a:off x="13487401" y="133348"/>
          <a:ext cx="1206632" cy="914401"/>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19050</xdr:colOff>
      <xdr:row>0</xdr:row>
      <xdr:rowOff>114299</xdr:rowOff>
    </xdr:from>
    <xdr:ext cx="4715533" cy="762106"/>
    <xdr:pic>
      <xdr:nvPicPr>
        <xdr:cNvPr id="2" name="image1.png" title="Image">
          <a:extLst>
            <a:ext uri="{FF2B5EF4-FFF2-40B4-BE49-F238E27FC236}">
              <a16:creationId xmlns:a16="http://schemas.microsoft.com/office/drawing/2014/main" id="{FF51FD45-0F2D-462F-B86D-F006715FD50F}"/>
            </a:ext>
          </a:extLst>
        </xdr:cNvPr>
        <xdr:cNvPicPr>
          <a:picLocks noChangeAspect="1"/>
        </xdr:cNvPicPr>
      </xdr:nvPicPr>
      <xdr:blipFill>
        <a:blip xmlns:r="http://schemas.openxmlformats.org/officeDocument/2006/relationships" r:embed="rId1" cstate="print"/>
        <a:stretch>
          <a:fillRect/>
        </a:stretch>
      </xdr:blipFill>
      <xdr:spPr>
        <a:xfrm>
          <a:off x="1924050" y="114299"/>
          <a:ext cx="4715533" cy="762106"/>
        </a:xfrm>
        <a:prstGeom prst="rect">
          <a:avLst/>
        </a:prstGeom>
        <a:noFill/>
      </xdr:spPr>
    </xdr:pic>
    <xdr:clientData fLocksWithSheet="0"/>
  </xdr:oneCellAnchor>
  <xdr:oneCellAnchor>
    <xdr:from>
      <xdr:col>7</xdr:col>
      <xdr:colOff>2200276</xdr:colOff>
      <xdr:row>0</xdr:row>
      <xdr:rowOff>142874</xdr:rowOff>
    </xdr:from>
    <xdr:ext cx="1007109" cy="763200"/>
    <xdr:pic>
      <xdr:nvPicPr>
        <xdr:cNvPr id="3" name="image2.png" title="Image">
          <a:extLst>
            <a:ext uri="{FF2B5EF4-FFF2-40B4-BE49-F238E27FC236}">
              <a16:creationId xmlns:a16="http://schemas.microsoft.com/office/drawing/2014/main" id="{15604F75-9EEE-4C6E-988A-89F29A62A078}"/>
            </a:ext>
          </a:extLst>
        </xdr:cNvPr>
        <xdr:cNvPicPr>
          <a:picLocks noChangeAspect="1"/>
        </xdr:cNvPicPr>
      </xdr:nvPicPr>
      <xdr:blipFill>
        <a:blip xmlns:r="http://schemas.openxmlformats.org/officeDocument/2006/relationships" r:embed="rId2" cstate="print"/>
        <a:stretch>
          <a:fillRect/>
        </a:stretch>
      </xdr:blipFill>
      <xdr:spPr>
        <a:xfrm>
          <a:off x="11106151" y="142874"/>
          <a:ext cx="1007109" cy="76320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3381375</xdr:colOff>
      <xdr:row>0</xdr:row>
      <xdr:rowOff>133350</xdr:rowOff>
    </xdr:from>
    <xdr:ext cx="4715533" cy="762106"/>
    <xdr:pic>
      <xdr:nvPicPr>
        <xdr:cNvPr id="4" name="image1.png" title="Image">
          <a:extLst>
            <a:ext uri="{FF2B5EF4-FFF2-40B4-BE49-F238E27FC236}">
              <a16:creationId xmlns:a16="http://schemas.microsoft.com/office/drawing/2014/main" id="{6F6A3549-75F9-4327-9CEB-D04BACD7546C}"/>
            </a:ext>
          </a:extLst>
        </xdr:cNvPr>
        <xdr:cNvPicPr>
          <a:picLocks noChangeAspect="1"/>
        </xdr:cNvPicPr>
      </xdr:nvPicPr>
      <xdr:blipFill>
        <a:blip xmlns:r="http://schemas.openxmlformats.org/officeDocument/2006/relationships" r:embed="rId1" cstate="print"/>
        <a:stretch>
          <a:fillRect/>
        </a:stretch>
      </xdr:blipFill>
      <xdr:spPr>
        <a:xfrm>
          <a:off x="3381375" y="133350"/>
          <a:ext cx="4715533" cy="762106"/>
        </a:xfrm>
        <a:prstGeom prst="rect">
          <a:avLst/>
        </a:prstGeom>
        <a:noFill/>
      </xdr:spPr>
    </xdr:pic>
    <xdr:clientData fLocksWithSheet="0"/>
  </xdr:oneCellAnchor>
  <xdr:oneCellAnchor>
    <xdr:from>
      <xdr:col>2</xdr:col>
      <xdr:colOff>2524126</xdr:colOff>
      <xdr:row>0</xdr:row>
      <xdr:rowOff>133350</xdr:rowOff>
    </xdr:from>
    <xdr:ext cx="1007109" cy="763200"/>
    <xdr:pic>
      <xdr:nvPicPr>
        <xdr:cNvPr id="5" name="image2.png" title="Image">
          <a:extLst>
            <a:ext uri="{FF2B5EF4-FFF2-40B4-BE49-F238E27FC236}">
              <a16:creationId xmlns:a16="http://schemas.microsoft.com/office/drawing/2014/main" id="{ACF0D7E6-4678-44FA-91F6-42DC5ABA7529}"/>
            </a:ext>
          </a:extLst>
        </xdr:cNvPr>
        <xdr:cNvPicPr>
          <a:picLocks noChangeAspect="1"/>
        </xdr:cNvPicPr>
      </xdr:nvPicPr>
      <xdr:blipFill>
        <a:blip xmlns:r="http://schemas.openxmlformats.org/officeDocument/2006/relationships" r:embed="rId2" cstate="print"/>
        <a:stretch>
          <a:fillRect/>
        </a:stretch>
      </xdr:blipFill>
      <xdr:spPr>
        <a:xfrm>
          <a:off x="10620376" y="133350"/>
          <a:ext cx="1007109" cy="763200"/>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Olivier Galichet" id="{00C633CE-261E-440A-A636-DD8596A20404}" userId="S::olivier.galichet@crisalyde.fr::76ceb612-fd3f-4c14-9013-acacec43350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58" dT="2024-02-07T07:50:43.26" personId="{00C633CE-261E-440A-A636-DD8596A20404}" id="{42BDD358-77C2-4A18-8CB8-F76C550C01CE}">
    <text>Attention, le CODIS est au CHU donc il est de fait prévenu! Il partage la même salle que le CRAA du SAMU.</text>
  </threadedComment>
  <threadedComment ref="E65" dT="2024-02-07T05:44:07.62" personId="{00C633CE-261E-440A-A636-DD8596A20404}" id="{B0B35A57-B7FB-4AB1-BB1A-7C9A4E5390BA}">
    <text>à remplacer par permanence cabinet ministre intérieur</text>
  </threadedComment>
  <threadedComment ref="E67" dT="2024-02-07T05:46:27.48" personId="{00C633CE-261E-440A-A636-DD8596A20404}" id="{3591ACBB-3A6B-4642-952E-C7926C097BC0}">
    <text>Pareil, c'est la permanence du cabinet du ministre de l'intérieur</text>
  </threadedComment>
  <threadedComment ref="H70" dT="2024-02-07T07:59:32.29" personId="{00C633CE-261E-440A-A636-DD8596A20404}" id="{00E3E8F4-3FDE-472B-B530-DE734E075540}">
    <text>J'ai ajouté le bout de phrase en rouge pour appuyer la cohérence de la demande</text>
  </threadedComment>
  <threadedComment ref="H72" dT="2024-02-07T08:01:02.08" personId="{00C633CE-261E-440A-A636-DD8596A20404}" id="{3A73AF12-3E7A-4763-8C0F-3B392B0CBF8D}">
    <text>La préfecture renverrait certainement vers l'ARS, donc pour plus de fluidité, la prison informe la pref des difficultés mais précise que c'est en cours par l'ARS. c'est un ATCR (A Titre de Compte-Rendu) comme on dit.</text>
  </threadedComment>
  <threadedComment ref="F73" dT="2024-02-07T08:01:50.62" personId="{00C633CE-261E-440A-A636-DD8596A20404}" id="{26D3E3EF-C05B-4FF7-9270-13BAF96A78D4}">
    <text>il va vers qui celui là?</text>
  </threadedComment>
  <threadedComment ref="H74" dT="2024-02-07T08:03:27.46" personId="{00C633CE-261E-440A-A636-DD8596A20404}" id="{015AB170-E24A-48F5-AAC2-EC82977C0FE4}">
    <text>Pour mémoire, le CRRA 15 est colocalisé avec le CODIS, même pièce, numéro différent (15 et 18), logiciels différents.</text>
  </threadedComment>
  <threadedComment ref="H95" dT="2024-02-07T08:08:06.34" personId="{00C633CE-261E-440A-A636-DD8596A20404}" id="{9CD86C1B-594F-4ED8-B14F-061F13A283B2}">
    <text>La pref ne fera pas de retour, c'est l'ARS, par contre, elle prendra l'info que ça se degrade et que le fonctionnement général déconne....</text>
  </threadedComment>
  <threadedComment ref="E104" dT="2024-02-07T08:09:30.86" personId="{00C633CE-261E-440A-A636-DD8596A20404}" id="{CBC82330-82F1-4513-AE76-1451C7AFC5CA}">
    <text>Permanence du cabinet du ministre</text>
  </threadedComment>
  <threadedComment ref="H104" dT="2024-02-07T08:11:06.64" personId="{00C633CE-261E-440A-A636-DD8596A20404}" id="{9F634B61-C999-4B5D-8E94-1DCD2708BAFA}">
    <text>Déjà 45 minutes c'est insurmontable (sauf en exercice) alors 20 minutes, c'est pas crédible... Ou alors le gars va inventer les chiffres...</text>
  </threadedComment>
  <threadedComment ref="H105" dT="2024-02-07T08:13:03.93" personId="{00C633CE-261E-440A-A636-DD8596A20404}" id="{F3DD2795-CC0F-425A-AB6C-7B20F87BF5BE}">
    <text>Le Préfet reçoit ce matin, les acteurs du BTP qui menacent de bloquer l'île, proposition de passer des agriculteurs à BTP pour plus de réalisme.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97EC6-C66A-4D90-B390-E0311EF5262A}">
  <dimension ref="B1:J111"/>
  <sheetViews>
    <sheetView showGridLines="0" tabSelected="1" zoomScale="80" zoomScaleNormal="80" workbookViewId="0">
      <pane ySplit="2" topLeftCell="A31" activePane="bottomLeft" state="frozen"/>
      <selection activeCell="B1" sqref="B1"/>
      <selection pane="bottomLeft" activeCell="J34" sqref="J34"/>
    </sheetView>
  </sheetViews>
  <sheetFormatPr baseColWidth="10" defaultColWidth="9.109375" defaultRowHeight="14.4" x14ac:dyDescent="0.3"/>
  <cols>
    <col min="2" max="2" width="6.109375" customWidth="1"/>
    <col min="3" max="3" width="6.88671875" customWidth="1"/>
    <col min="4" max="4" width="16.5546875" customWidth="1"/>
    <col min="5" max="6" width="23.33203125" customWidth="1"/>
    <col min="7" max="7" width="42.33203125" customWidth="1"/>
    <col min="8" max="8" width="80.6640625" style="32" customWidth="1"/>
    <col min="9" max="9" width="15.6640625" customWidth="1"/>
  </cols>
  <sheetData>
    <row r="1" spans="2:9" ht="90.75" hidden="1" customHeight="1" x14ac:dyDescent="0.3">
      <c r="C1" s="64"/>
      <c r="D1" s="64"/>
      <c r="E1" s="64"/>
      <c r="F1" s="64"/>
      <c r="G1" s="64"/>
      <c r="H1" s="64"/>
      <c r="I1" s="64"/>
    </row>
    <row r="2" spans="2:9" ht="38.25" customHeight="1" x14ac:dyDescent="0.3">
      <c r="B2" s="34" t="s">
        <v>0</v>
      </c>
      <c r="C2" s="34" t="s">
        <v>1</v>
      </c>
      <c r="D2" s="35" t="s">
        <v>2</v>
      </c>
      <c r="E2" s="34" t="s">
        <v>3</v>
      </c>
      <c r="F2" s="34" t="s">
        <v>4</v>
      </c>
      <c r="G2" s="34" t="s">
        <v>5</v>
      </c>
      <c r="H2" s="34" t="s">
        <v>6</v>
      </c>
      <c r="I2" s="34" t="s">
        <v>7</v>
      </c>
    </row>
    <row r="3" spans="2:9" ht="33.6" x14ac:dyDescent="0.3">
      <c r="B3" s="65" t="s">
        <v>8</v>
      </c>
      <c r="C3" s="65"/>
      <c r="D3" s="65"/>
      <c r="E3" s="65"/>
      <c r="F3" s="65"/>
      <c r="G3" s="66"/>
      <c r="H3" s="66"/>
      <c r="I3" s="65"/>
    </row>
    <row r="4" spans="2:9" ht="46.8" x14ac:dyDescent="0.3">
      <c r="B4" s="26" t="s">
        <v>9</v>
      </c>
      <c r="C4" s="37" t="s">
        <v>10</v>
      </c>
      <c r="D4" s="19" t="s">
        <v>11</v>
      </c>
      <c r="E4" s="19" t="s">
        <v>12</v>
      </c>
      <c r="F4" s="19" t="s">
        <v>13</v>
      </c>
      <c r="G4" s="19" t="str">
        <f>"Panne "&amp;Applicatifs!$B$6&amp;" (Laboratoire)"</f>
        <v>Panne INLOG (Laboratoire)</v>
      </c>
      <c r="H4" s="29" t="str">
        <f>"Bonjour, il semblerait qu'il y ait une panne au niveau du laboratoire de biologie. "&amp;Applicatifs!$B$6&amp;" est en panne. On doit se déplacer pour avoir les résultats, c'est très long et on a beaucoup de mal à tenir le rythme."</f>
        <v>Bonjour, il semblerait qu'il y ait une panne au niveau du laboratoire de biologie. INLOG est en panne. On doit se déplacer pour avoir les résultats, c'est très long et on a beaucoup de mal à tenir le rythme.</v>
      </c>
      <c r="I4" s="19" t="s">
        <v>14</v>
      </c>
    </row>
    <row r="5" spans="2:9" ht="62.4" x14ac:dyDescent="0.3">
      <c r="B5" s="26" t="s">
        <v>9</v>
      </c>
      <c r="C5" s="37" t="s">
        <v>15</v>
      </c>
      <c r="D5" s="19" t="s">
        <v>11</v>
      </c>
      <c r="E5" s="19" t="s">
        <v>16</v>
      </c>
      <c r="F5" s="19" t="s">
        <v>13</v>
      </c>
      <c r="G5" s="23" t="s">
        <v>17</v>
      </c>
      <c r="H5" s="30" t="s">
        <v>18</v>
      </c>
      <c r="I5" s="19" t="s">
        <v>14</v>
      </c>
    </row>
    <row r="6" spans="2:9" ht="46.8" x14ac:dyDescent="0.3">
      <c r="B6" s="26" t="s">
        <v>9</v>
      </c>
      <c r="C6" s="37" t="s">
        <v>19</v>
      </c>
      <c r="D6" s="19" t="s">
        <v>11</v>
      </c>
      <c r="E6" s="19" t="s">
        <v>20</v>
      </c>
      <c r="F6" s="19" t="s">
        <v>21</v>
      </c>
      <c r="G6" s="19" t="s">
        <v>22</v>
      </c>
      <c r="H6" s="29" t="str">
        <f>"Bonjour, il semblerait qu'il y ait une panne au niveau du laboratoire de biologie. On doit se déplacer pour avoir les résultats, c'est très long et on a beaucoup de mal à tenir le rythme."</f>
        <v>Bonjour, il semblerait qu'il y ait une panne au niveau du laboratoire de biologie. On doit se déplacer pour avoir les résultats, c'est très long et on a beaucoup de mal à tenir le rythme.</v>
      </c>
      <c r="I6" s="19" t="s">
        <v>14</v>
      </c>
    </row>
    <row r="7" spans="2:9" ht="31.2" x14ac:dyDescent="0.3">
      <c r="B7" s="26" t="s">
        <v>9</v>
      </c>
      <c r="C7" s="37" t="s">
        <v>23</v>
      </c>
      <c r="D7" s="19" t="s">
        <v>11</v>
      </c>
      <c r="E7" s="19" t="s">
        <v>24</v>
      </c>
      <c r="F7" s="27" t="s">
        <v>13</v>
      </c>
      <c r="G7" s="19" t="s">
        <v>25</v>
      </c>
      <c r="H7" s="29" t="s">
        <v>26</v>
      </c>
      <c r="I7" s="19" t="s">
        <v>14</v>
      </c>
    </row>
    <row r="8" spans="2:9" ht="31.2" x14ac:dyDescent="0.3">
      <c r="B8" s="26" t="s">
        <v>9</v>
      </c>
      <c r="C8" s="37" t="s">
        <v>27</v>
      </c>
      <c r="D8" s="19" t="s">
        <v>11</v>
      </c>
      <c r="E8" s="19" t="s">
        <v>28</v>
      </c>
      <c r="F8" s="27" t="s">
        <v>13</v>
      </c>
      <c r="G8" s="19" t="s">
        <v>25</v>
      </c>
      <c r="H8" s="29" t="s">
        <v>26</v>
      </c>
      <c r="I8" s="19" t="s">
        <v>14</v>
      </c>
    </row>
    <row r="9" spans="2:9" ht="31.2" x14ac:dyDescent="0.3">
      <c r="B9" s="26" t="s">
        <v>9</v>
      </c>
      <c r="C9" s="37" t="s">
        <v>29</v>
      </c>
      <c r="D9" s="19" t="s">
        <v>11</v>
      </c>
      <c r="E9" s="19" t="s">
        <v>30</v>
      </c>
      <c r="F9" s="27" t="s">
        <v>13</v>
      </c>
      <c r="G9" s="19" t="s">
        <v>25</v>
      </c>
      <c r="H9" s="29" t="s">
        <v>26</v>
      </c>
      <c r="I9" s="19" t="s">
        <v>14</v>
      </c>
    </row>
    <row r="10" spans="2:9" ht="31.2" x14ac:dyDescent="0.3">
      <c r="B10" s="26" t="s">
        <v>9</v>
      </c>
      <c r="C10" s="19" t="s">
        <v>31</v>
      </c>
      <c r="D10" s="19" t="s">
        <v>11</v>
      </c>
      <c r="E10" s="19" t="s">
        <v>32</v>
      </c>
      <c r="F10" s="27" t="s">
        <v>13</v>
      </c>
      <c r="G10" s="19" t="s">
        <v>25</v>
      </c>
      <c r="H10" s="29" t="s">
        <v>33</v>
      </c>
      <c r="I10" s="19" t="s">
        <v>14</v>
      </c>
    </row>
    <row r="11" spans="2:9" ht="62.4" x14ac:dyDescent="0.3">
      <c r="B11" s="26" t="s">
        <v>9</v>
      </c>
      <c r="C11" s="19" t="s">
        <v>34</v>
      </c>
      <c r="D11" s="19" t="s">
        <v>11</v>
      </c>
      <c r="E11" s="19" t="s">
        <v>16</v>
      </c>
      <c r="F11" s="19" t="s">
        <v>35</v>
      </c>
      <c r="G11" s="23" t="s">
        <v>17</v>
      </c>
      <c r="H11" s="30" t="s">
        <v>18</v>
      </c>
      <c r="I11" s="19" t="s">
        <v>14</v>
      </c>
    </row>
    <row r="12" spans="2:9" ht="140.4" x14ac:dyDescent="0.3">
      <c r="B12" s="26" t="s">
        <v>9</v>
      </c>
      <c r="C12" s="19" t="s">
        <v>36</v>
      </c>
      <c r="D12" s="19" t="s">
        <v>11</v>
      </c>
      <c r="E12" s="19" t="s">
        <v>37</v>
      </c>
      <c r="F12" s="27" t="s">
        <v>38</v>
      </c>
      <c r="G12" s="19" t="s">
        <v>39</v>
      </c>
      <c r="H12" s="29" t="s">
        <v>40</v>
      </c>
      <c r="I12" s="19" t="s">
        <v>41</v>
      </c>
    </row>
    <row r="13" spans="2:9" ht="62.4" x14ac:dyDescent="0.3">
      <c r="B13" s="26" t="s">
        <v>9</v>
      </c>
      <c r="C13" s="19" t="s">
        <v>42</v>
      </c>
      <c r="D13" s="19" t="s">
        <v>43</v>
      </c>
      <c r="E13" s="19" t="s">
        <v>44</v>
      </c>
      <c r="F13" s="19" t="s">
        <v>13</v>
      </c>
      <c r="G13" s="19" t="s">
        <v>45</v>
      </c>
      <c r="H13" s="29" t="s">
        <v>46</v>
      </c>
      <c r="I13" s="19" t="s">
        <v>14</v>
      </c>
    </row>
    <row r="14" spans="2:9" ht="31.2" x14ac:dyDescent="0.3">
      <c r="B14" s="26" t="s">
        <v>9</v>
      </c>
      <c r="C14" s="19" t="s">
        <v>47</v>
      </c>
      <c r="D14" s="19" t="s">
        <v>11</v>
      </c>
      <c r="E14" s="19" t="s">
        <v>48</v>
      </c>
      <c r="F14" s="19" t="s">
        <v>38</v>
      </c>
      <c r="G14" s="17" t="s">
        <v>49</v>
      </c>
      <c r="H14" s="31" t="s">
        <v>50</v>
      </c>
      <c r="I14" s="19" t="s">
        <v>14</v>
      </c>
    </row>
    <row r="15" spans="2:9" ht="46.8" x14ac:dyDescent="0.3">
      <c r="B15" s="26" t="s">
        <v>9</v>
      </c>
      <c r="C15" s="19" t="s">
        <v>51</v>
      </c>
      <c r="D15" s="19" t="s">
        <v>11</v>
      </c>
      <c r="E15" s="19" t="s">
        <v>52</v>
      </c>
      <c r="F15" s="19" t="s">
        <v>35</v>
      </c>
      <c r="G15" s="49" t="s">
        <v>53</v>
      </c>
      <c r="H15" s="33" t="s">
        <v>54</v>
      </c>
      <c r="I15" s="19" t="s">
        <v>14</v>
      </c>
    </row>
    <row r="16" spans="2:9" ht="46.8" x14ac:dyDescent="0.3">
      <c r="B16" s="26" t="s">
        <v>9</v>
      </c>
      <c r="C16" s="19" t="s">
        <v>55</v>
      </c>
      <c r="D16" s="19" t="s">
        <v>11</v>
      </c>
      <c r="E16" s="19" t="s">
        <v>52</v>
      </c>
      <c r="F16" s="19" t="s">
        <v>38</v>
      </c>
      <c r="G16" s="49" t="s">
        <v>53</v>
      </c>
      <c r="H16" s="33" t="s">
        <v>54</v>
      </c>
      <c r="I16" s="19" t="s">
        <v>14</v>
      </c>
    </row>
    <row r="17" spans="2:10" ht="46.8" x14ac:dyDescent="0.3">
      <c r="B17" s="26" t="s">
        <v>9</v>
      </c>
      <c r="C17" s="19" t="s">
        <v>56</v>
      </c>
      <c r="D17" s="19" t="s">
        <v>11</v>
      </c>
      <c r="E17" s="19" t="s">
        <v>28</v>
      </c>
      <c r="F17" s="19" t="s">
        <v>13</v>
      </c>
      <c r="G17" s="19" t="s">
        <v>57</v>
      </c>
      <c r="H17" s="29" t="s">
        <v>58</v>
      </c>
      <c r="I17" s="19" t="s">
        <v>14</v>
      </c>
    </row>
    <row r="18" spans="2:10" ht="46.8" x14ac:dyDescent="0.3">
      <c r="B18" s="26" t="s">
        <v>9</v>
      </c>
      <c r="C18" s="19" t="s">
        <v>59</v>
      </c>
      <c r="D18" s="19" t="s">
        <v>11</v>
      </c>
      <c r="E18" s="19" t="s">
        <v>60</v>
      </c>
      <c r="F18" s="19" t="s">
        <v>13</v>
      </c>
      <c r="G18" s="19" t="s">
        <v>61</v>
      </c>
      <c r="H18" s="29" t="s">
        <v>62</v>
      </c>
      <c r="I18" s="22" t="s">
        <v>41</v>
      </c>
    </row>
    <row r="19" spans="2:10" ht="46.8" x14ac:dyDescent="0.3">
      <c r="B19" s="26" t="s">
        <v>9</v>
      </c>
      <c r="C19" s="19" t="s">
        <v>63</v>
      </c>
      <c r="D19" s="19" t="s">
        <v>11</v>
      </c>
      <c r="E19" s="19" t="s">
        <v>60</v>
      </c>
      <c r="F19" s="19" t="s">
        <v>21</v>
      </c>
      <c r="G19" s="19" t="s">
        <v>61</v>
      </c>
      <c r="H19" s="29" t="s">
        <v>62</v>
      </c>
      <c r="I19" s="22" t="s">
        <v>41</v>
      </c>
    </row>
    <row r="20" spans="2:10" ht="62.4" x14ac:dyDescent="0.3">
      <c r="B20" s="26" t="s">
        <v>9</v>
      </c>
      <c r="C20" s="19" t="s">
        <v>64</v>
      </c>
      <c r="D20" s="19" t="s">
        <v>11</v>
      </c>
      <c r="E20" s="19" t="s">
        <v>65</v>
      </c>
      <c r="F20" s="19" t="s">
        <v>38</v>
      </c>
      <c r="G20" s="19" t="str">
        <f>"Bug de "&amp;Applicatifs!$B$12&amp;" (Gestion des plannings)"</f>
        <v>Bug de Logiciel de gestion des plannings (Gestion des plannings)</v>
      </c>
      <c r="H20" s="29" t="str">
        <f>"Bonjour, c'est X qui vous contacte, on m'a informé qu'en plus de "&amp;Applicatifs!$B$5&amp;" il y a un bug sur "&amp;Applicatifs!$B$12&amp;". On n'a plus aucune visibilité sur les plannings, il y a une page blanche qui s'affiche sans aucun contenu, 
est-ce que c'est normal ?"</f>
        <v>Bonjour, c'est X qui vous contacte, on m'a informé qu'en plus de Pastel il y a un bug sur Logiciel de gestion des plannings. On n'a plus aucune visibilité sur les plannings, il y a une page blanche qui s'affiche sans aucun contenu, 
est-ce que c'est normal ?</v>
      </c>
      <c r="I20" s="19" t="s">
        <v>14</v>
      </c>
    </row>
    <row r="21" spans="2:10" ht="62.4" x14ac:dyDescent="0.3">
      <c r="B21" s="26" t="s">
        <v>9</v>
      </c>
      <c r="C21" s="19" t="s">
        <v>66</v>
      </c>
      <c r="D21" s="19" t="s">
        <v>11</v>
      </c>
      <c r="E21" s="19" t="s">
        <v>67</v>
      </c>
      <c r="F21" s="19" t="s">
        <v>13</v>
      </c>
      <c r="G21" s="23" t="s">
        <v>68</v>
      </c>
      <c r="H21" s="45" t="s">
        <v>69</v>
      </c>
      <c r="I21" s="19" t="s">
        <v>14</v>
      </c>
    </row>
    <row r="22" spans="2:10" ht="46.8" x14ac:dyDescent="0.3">
      <c r="B22" s="26" t="s">
        <v>9</v>
      </c>
      <c r="C22" s="19" t="s">
        <v>70</v>
      </c>
      <c r="D22" s="19" t="s">
        <v>43</v>
      </c>
      <c r="E22" s="19" t="s">
        <v>71</v>
      </c>
      <c r="F22" s="19" t="s">
        <v>38</v>
      </c>
      <c r="G22" s="19" t="s">
        <v>72</v>
      </c>
      <c r="H22" s="46" t="s">
        <v>73</v>
      </c>
      <c r="I22" s="19" t="s">
        <v>14</v>
      </c>
    </row>
    <row r="23" spans="2:10" ht="78.75" customHeight="1" x14ac:dyDescent="0.3">
      <c r="B23" s="26" t="s">
        <v>9</v>
      </c>
      <c r="C23" s="19" t="s">
        <v>74</v>
      </c>
      <c r="D23" s="19" t="s">
        <v>11</v>
      </c>
      <c r="E23" s="19" t="s">
        <v>60</v>
      </c>
      <c r="F23" s="19" t="s">
        <v>13</v>
      </c>
      <c r="G23" s="17" t="str">
        <f>"Bug de "&amp;Applicatifs!$B$15&amp;" (Gestion de la température)"</f>
        <v>Bug de Logiciel de gestion de la température (Laboratoire) (Gestion de la température)</v>
      </c>
      <c r="H23" s="31" t="s">
        <v>75</v>
      </c>
      <c r="I23" s="19" t="s">
        <v>14</v>
      </c>
      <c r="J23" s="31"/>
    </row>
    <row r="24" spans="2:10" ht="46.8" x14ac:dyDescent="0.3">
      <c r="B24" s="26" t="s">
        <v>9</v>
      </c>
      <c r="C24" s="19" t="s">
        <v>76</v>
      </c>
      <c r="D24" s="19" t="s">
        <v>11</v>
      </c>
      <c r="E24" s="19" t="s">
        <v>77</v>
      </c>
      <c r="F24" s="19" t="s">
        <v>38</v>
      </c>
      <c r="G24" s="19" t="str">
        <f>"Problème "&amp;Applicatifs!$B$13&amp;" (Gestion des stocks)"</f>
        <v>Problème Pharma® (Gestion des stocks)</v>
      </c>
      <c r="H24" s="29" t="str">
        <f>"Bonjour, on vous contacte car depuis ce matin "&amp;Applicatifs!$B$13&amp;" est très lent depuis ce matin... Cela pèse sur le fonctionnement de la pharmacie car on tourne au ralenti. Savez-vous ce qu'il en est ?"</f>
        <v>Bonjour, on vous contacte car depuis ce matin Pharma® est très lent depuis ce matin... Cela pèse sur le fonctionnement de la pharmacie car on tourne au ralenti. Savez-vous ce qu'il en est ?</v>
      </c>
      <c r="I24" s="19" t="s">
        <v>14</v>
      </c>
    </row>
    <row r="25" spans="2:10" ht="78.75" customHeight="1" x14ac:dyDescent="0.3">
      <c r="B25" s="26" t="s">
        <v>9</v>
      </c>
      <c r="C25" s="19" t="s">
        <v>78</v>
      </c>
      <c r="D25" s="19" t="s">
        <v>11</v>
      </c>
      <c r="E25" s="19" t="s">
        <v>60</v>
      </c>
      <c r="F25" s="19" t="s">
        <v>21</v>
      </c>
      <c r="G25" s="17" t="str">
        <f>"Bug de "&amp;Applicatifs!$B$15&amp;" (Gestion de la température)"</f>
        <v>Bug de Logiciel de gestion de la température (Laboratoire) (Gestion de la température)</v>
      </c>
      <c r="H25" s="31" t="s">
        <v>75</v>
      </c>
      <c r="I25" s="19" t="s">
        <v>14</v>
      </c>
      <c r="J25" s="31"/>
    </row>
    <row r="26" spans="2:10" ht="46.8" x14ac:dyDescent="0.3">
      <c r="B26" s="26" t="s">
        <v>9</v>
      </c>
      <c r="C26" s="19" t="s">
        <v>79</v>
      </c>
      <c r="D26" s="19" t="s">
        <v>11</v>
      </c>
      <c r="E26" s="19" t="s">
        <v>77</v>
      </c>
      <c r="F26" s="19" t="s">
        <v>35</v>
      </c>
      <c r="G26" s="19" t="str">
        <f>"Problème "&amp;Applicatifs!$B$13&amp;" (Gestion des stocks)"</f>
        <v>Problème Pharma® (Gestion des stocks)</v>
      </c>
      <c r="H26" s="29" t="str">
        <f>"Bonjour, on vous contacte car depuis ce matin "&amp;Applicatifs!$B$13&amp;" est très lent depuis ce matin... Cela pèse sur le fonctionnement de la pharmacie car on tourne au ralenti. Savez-vous ce qu'il en est ?"</f>
        <v>Bonjour, on vous contacte car depuis ce matin Pharma® est très lent depuis ce matin... Cela pèse sur le fonctionnement de la pharmacie car on tourne au ralenti. Savez-vous ce qu'il en est ?</v>
      </c>
      <c r="I26" s="19" t="s">
        <v>14</v>
      </c>
    </row>
    <row r="27" spans="2:10" ht="62.4" x14ac:dyDescent="0.3">
      <c r="B27" s="26" t="s">
        <v>9</v>
      </c>
      <c r="C27" s="19" t="s">
        <v>80</v>
      </c>
      <c r="D27" s="19" t="s">
        <v>43</v>
      </c>
      <c r="E27" s="19" t="s">
        <v>65</v>
      </c>
      <c r="F27" s="19" t="s">
        <v>38</v>
      </c>
      <c r="G27" s="19" t="s">
        <v>81</v>
      </c>
      <c r="H27" s="29" t="s">
        <v>82</v>
      </c>
      <c r="I27" s="19" t="s">
        <v>14</v>
      </c>
    </row>
    <row r="28" spans="2:10" ht="109.2" x14ac:dyDescent="0.3">
      <c r="B28" s="26" t="s">
        <v>9</v>
      </c>
      <c r="C28" s="19" t="s">
        <v>83</v>
      </c>
      <c r="D28" s="19" t="s">
        <v>11</v>
      </c>
      <c r="E28" s="19" t="s">
        <v>84</v>
      </c>
      <c r="F28" s="19" t="s">
        <v>85</v>
      </c>
      <c r="G28" s="19" t="s">
        <v>86</v>
      </c>
      <c r="H28" s="29" t="s">
        <v>87</v>
      </c>
      <c r="I28" s="19" t="s">
        <v>41</v>
      </c>
    </row>
    <row r="29" spans="2:10" ht="124.8" x14ac:dyDescent="0.3">
      <c r="B29" s="26" t="s">
        <v>9</v>
      </c>
      <c r="C29" s="19" t="s">
        <v>88</v>
      </c>
      <c r="D29" s="19" t="s">
        <v>11</v>
      </c>
      <c r="E29" s="19" t="s">
        <v>84</v>
      </c>
      <c r="F29" s="19" t="s">
        <v>35</v>
      </c>
      <c r="G29" s="19" t="s">
        <v>86</v>
      </c>
      <c r="H29" s="29" t="s">
        <v>87</v>
      </c>
      <c r="I29" s="19" t="s">
        <v>41</v>
      </c>
    </row>
    <row r="30" spans="2:10" ht="31.2" x14ac:dyDescent="0.3">
      <c r="B30" s="26" t="s">
        <v>9</v>
      </c>
      <c r="C30" s="19" t="s">
        <v>89</v>
      </c>
      <c r="D30" s="19" t="s">
        <v>11</v>
      </c>
      <c r="E30" s="19" t="s">
        <v>52</v>
      </c>
      <c r="F30" s="19" t="s">
        <v>13</v>
      </c>
      <c r="G30" s="19" t="str">
        <f>"Problème DPI : "&amp;Applicatifs!$B$4&amp;" inaccessible"</f>
        <v>Problème DPI : CrossWay inaccessible</v>
      </c>
      <c r="H30" s="29" t="str">
        <f>Applicatifs!$B$4&amp;" c'est une catastrophe depuis ce matin, ça rame beaucoup, un coup il s'ouvre, un coup il ne s'ouvre pas…"</f>
        <v>CrossWay c'est une catastrophe depuis ce matin, ça rame beaucoup, un coup il s'ouvre, un coup il ne s'ouvre pas…</v>
      </c>
      <c r="I30" s="19" t="s">
        <v>14</v>
      </c>
    </row>
    <row r="31" spans="2:10" ht="31.2" x14ac:dyDescent="0.3">
      <c r="B31" s="26" t="s">
        <v>9</v>
      </c>
      <c r="C31" s="19" t="s">
        <v>90</v>
      </c>
      <c r="D31" s="19" t="s">
        <v>11</v>
      </c>
      <c r="E31" s="19" t="s">
        <v>28</v>
      </c>
      <c r="F31" s="19" t="s">
        <v>38</v>
      </c>
      <c r="G31" s="19" t="s">
        <v>91</v>
      </c>
      <c r="H31" s="29" t="s">
        <v>92</v>
      </c>
      <c r="I31" s="19" t="s">
        <v>14</v>
      </c>
    </row>
    <row r="32" spans="2:10" ht="62.4" x14ac:dyDescent="0.3">
      <c r="B32" s="26" t="s">
        <v>9</v>
      </c>
      <c r="C32" s="19" t="s">
        <v>93</v>
      </c>
      <c r="D32" s="19" t="s">
        <v>43</v>
      </c>
      <c r="E32" s="19" t="s">
        <v>48</v>
      </c>
      <c r="F32" s="19" t="s">
        <v>13</v>
      </c>
      <c r="G32" s="23" t="s">
        <v>94</v>
      </c>
      <c r="H32" s="30" t="s">
        <v>95</v>
      </c>
      <c r="I32" s="19" t="s">
        <v>14</v>
      </c>
    </row>
    <row r="33" spans="2:9" ht="78" x14ac:dyDescent="0.3">
      <c r="B33" s="26" t="s">
        <v>9</v>
      </c>
      <c r="C33" s="19" t="s">
        <v>96</v>
      </c>
      <c r="D33" s="19" t="s">
        <v>43</v>
      </c>
      <c r="E33" s="19" t="s">
        <v>28</v>
      </c>
      <c r="F33" s="19" t="s">
        <v>38</v>
      </c>
      <c r="G33" s="23" t="s">
        <v>97</v>
      </c>
      <c r="H33" s="30" t="s">
        <v>98</v>
      </c>
      <c r="I33" s="19" t="s">
        <v>14</v>
      </c>
    </row>
    <row r="34" spans="2:9" ht="78" x14ac:dyDescent="0.3">
      <c r="B34" s="26" t="s">
        <v>9</v>
      </c>
      <c r="C34" s="19" t="s">
        <v>99</v>
      </c>
      <c r="D34" s="19" t="s">
        <v>11</v>
      </c>
      <c r="E34" s="19" t="s">
        <v>37</v>
      </c>
      <c r="F34" s="19" t="s">
        <v>35</v>
      </c>
      <c r="G34" s="19" t="s">
        <v>100</v>
      </c>
      <c r="H34" s="29" t="s">
        <v>101</v>
      </c>
      <c r="I34" s="19" t="s">
        <v>14</v>
      </c>
    </row>
    <row r="35" spans="2:9" ht="46.8" x14ac:dyDescent="0.3">
      <c r="B35" s="26" t="s">
        <v>9</v>
      </c>
      <c r="C35" s="19" t="s">
        <v>102</v>
      </c>
      <c r="D35" s="19" t="s">
        <v>43</v>
      </c>
      <c r="E35" s="19" t="s">
        <v>103</v>
      </c>
      <c r="F35" s="19" t="s">
        <v>38</v>
      </c>
      <c r="G35" s="23" t="s">
        <v>104</v>
      </c>
      <c r="H35" s="30" t="s">
        <v>105</v>
      </c>
      <c r="I35" s="22" t="s">
        <v>41</v>
      </c>
    </row>
    <row r="36" spans="2:9" ht="46.8" x14ac:dyDescent="0.3">
      <c r="B36" s="26" t="s">
        <v>9</v>
      </c>
      <c r="C36" s="19" t="s">
        <v>106</v>
      </c>
      <c r="D36" s="19" t="s">
        <v>43</v>
      </c>
      <c r="E36" s="19" t="s">
        <v>103</v>
      </c>
      <c r="F36" s="19" t="s">
        <v>35</v>
      </c>
      <c r="G36" s="23" t="s">
        <v>104</v>
      </c>
      <c r="H36" s="30" t="s">
        <v>105</v>
      </c>
      <c r="I36" s="22" t="s">
        <v>41</v>
      </c>
    </row>
    <row r="37" spans="2:9" ht="78" x14ac:dyDescent="0.3">
      <c r="B37" s="26" t="s">
        <v>9</v>
      </c>
      <c r="C37" s="19" t="s">
        <v>107</v>
      </c>
      <c r="D37" s="19" t="s">
        <v>43</v>
      </c>
      <c r="E37" s="19" t="s">
        <v>12</v>
      </c>
      <c r="F37" s="19" t="s">
        <v>13</v>
      </c>
      <c r="G37" s="23" t="s">
        <v>108</v>
      </c>
      <c r="H37" s="30" t="s">
        <v>109</v>
      </c>
      <c r="I37" s="22" t="s">
        <v>14</v>
      </c>
    </row>
    <row r="38" spans="2:9" ht="78" x14ac:dyDescent="0.3">
      <c r="B38" s="26" t="s">
        <v>9</v>
      </c>
      <c r="C38" s="19" t="s">
        <v>110</v>
      </c>
      <c r="D38" s="19" t="s">
        <v>11</v>
      </c>
      <c r="E38" s="19" t="s">
        <v>67</v>
      </c>
      <c r="F38" s="19" t="s">
        <v>13</v>
      </c>
      <c r="G38" s="23" t="s">
        <v>111</v>
      </c>
      <c r="H38" s="30" t="s">
        <v>112</v>
      </c>
      <c r="I38" s="22" t="s">
        <v>14</v>
      </c>
    </row>
    <row r="39" spans="2:9" ht="31.2" x14ac:dyDescent="0.3">
      <c r="B39" s="26" t="s">
        <v>9</v>
      </c>
      <c r="C39" s="19" t="s">
        <v>113</v>
      </c>
      <c r="D39" s="19" t="s">
        <v>11</v>
      </c>
      <c r="E39" s="19" t="s">
        <v>28</v>
      </c>
      <c r="F39" s="19" t="s">
        <v>13</v>
      </c>
      <c r="G39" s="19" t="s">
        <v>114</v>
      </c>
      <c r="H39" s="29" t="s">
        <v>115</v>
      </c>
      <c r="I39" s="22" t="s">
        <v>14</v>
      </c>
    </row>
    <row r="40" spans="2:9" ht="46.8" x14ac:dyDescent="0.3">
      <c r="B40" s="26" t="s">
        <v>9</v>
      </c>
      <c r="C40" s="19" t="s">
        <v>116</v>
      </c>
      <c r="D40" s="19" t="s">
        <v>43</v>
      </c>
      <c r="E40" s="19" t="s">
        <v>30</v>
      </c>
      <c r="F40" s="19" t="s">
        <v>38</v>
      </c>
      <c r="G40" s="23" t="s">
        <v>117</v>
      </c>
      <c r="H40" s="30" t="s">
        <v>118</v>
      </c>
      <c r="I40" s="22" t="s">
        <v>14</v>
      </c>
    </row>
    <row r="41" spans="2:9" ht="62.4" x14ac:dyDescent="0.3">
      <c r="B41" s="26" t="s">
        <v>9</v>
      </c>
      <c r="C41" s="19" t="s">
        <v>119</v>
      </c>
      <c r="D41" s="19" t="s">
        <v>43</v>
      </c>
      <c r="E41" s="19" t="s">
        <v>28</v>
      </c>
      <c r="F41" s="19" t="s">
        <v>13</v>
      </c>
      <c r="G41" s="23" t="s">
        <v>120</v>
      </c>
      <c r="H41" s="30" t="s">
        <v>121</v>
      </c>
      <c r="I41" s="22" t="s">
        <v>14</v>
      </c>
    </row>
    <row r="42" spans="2:9" ht="62.4" x14ac:dyDescent="0.3">
      <c r="B42" s="26" t="s">
        <v>9</v>
      </c>
      <c r="C42" s="19" t="s">
        <v>122</v>
      </c>
      <c r="D42" s="19" t="s">
        <v>43</v>
      </c>
      <c r="E42" s="19" t="s">
        <v>28</v>
      </c>
      <c r="F42" s="19" t="s">
        <v>38</v>
      </c>
      <c r="G42" s="23" t="s">
        <v>120</v>
      </c>
      <c r="H42" s="30" t="s">
        <v>123</v>
      </c>
      <c r="I42" s="22" t="s">
        <v>14</v>
      </c>
    </row>
    <row r="43" spans="2:9" ht="62.4" x14ac:dyDescent="0.3">
      <c r="B43" s="26" t="s">
        <v>9</v>
      </c>
      <c r="C43" s="19" t="s">
        <v>124</v>
      </c>
      <c r="D43" s="19" t="s">
        <v>43</v>
      </c>
      <c r="E43" s="19" t="s">
        <v>28</v>
      </c>
      <c r="F43" s="19" t="s">
        <v>21</v>
      </c>
      <c r="G43" s="23" t="s">
        <v>120</v>
      </c>
      <c r="H43" s="30" t="s">
        <v>123</v>
      </c>
      <c r="I43" s="22" t="s">
        <v>14</v>
      </c>
    </row>
    <row r="44" spans="2:9" ht="62.4" x14ac:dyDescent="0.3">
      <c r="B44" s="26" t="s">
        <v>9</v>
      </c>
      <c r="C44" s="19" t="s">
        <v>125</v>
      </c>
      <c r="D44" s="19" t="s">
        <v>43</v>
      </c>
      <c r="E44" s="19" t="s">
        <v>28</v>
      </c>
      <c r="F44" s="19" t="s">
        <v>35</v>
      </c>
      <c r="G44" s="23" t="s">
        <v>120</v>
      </c>
      <c r="H44" s="30" t="s">
        <v>123</v>
      </c>
      <c r="I44" s="22" t="s">
        <v>14</v>
      </c>
    </row>
    <row r="45" spans="2:9" ht="62.4" x14ac:dyDescent="0.3">
      <c r="B45" s="26" t="s">
        <v>9</v>
      </c>
      <c r="C45" s="19" t="s">
        <v>126</v>
      </c>
      <c r="D45" s="19" t="s">
        <v>43</v>
      </c>
      <c r="E45" s="19" t="s">
        <v>127</v>
      </c>
      <c r="F45" s="27" t="s">
        <v>13</v>
      </c>
      <c r="G45" s="23" t="s">
        <v>128</v>
      </c>
      <c r="H45" s="30" t="s">
        <v>129</v>
      </c>
      <c r="I45" s="22" t="s">
        <v>14</v>
      </c>
    </row>
    <row r="46" spans="2:9" s="57" customFormat="1" ht="31.2" x14ac:dyDescent="0.3">
      <c r="B46" s="51" t="s">
        <v>130</v>
      </c>
      <c r="C46" s="52" t="s">
        <v>131</v>
      </c>
      <c r="D46" s="52" t="s">
        <v>11</v>
      </c>
      <c r="E46" s="52" t="s">
        <v>60</v>
      </c>
      <c r="F46" s="53" t="s">
        <v>13</v>
      </c>
      <c r="G46" s="54" t="s">
        <v>132</v>
      </c>
      <c r="H46" s="55" t="s">
        <v>133</v>
      </c>
      <c r="I46" s="56" t="s">
        <v>41</v>
      </c>
    </row>
    <row r="47" spans="2:9" ht="31.2" x14ac:dyDescent="0.3">
      <c r="B47" s="26" t="s">
        <v>9</v>
      </c>
      <c r="C47" s="19" t="s">
        <v>134</v>
      </c>
      <c r="D47" s="19" t="s">
        <v>43</v>
      </c>
      <c r="E47" s="19" t="s">
        <v>135</v>
      </c>
      <c r="F47" s="27" t="s">
        <v>13</v>
      </c>
      <c r="G47" s="23" t="s">
        <v>136</v>
      </c>
      <c r="H47" s="30" t="s">
        <v>137</v>
      </c>
      <c r="I47" s="22" t="s">
        <v>41</v>
      </c>
    </row>
    <row r="48" spans="2:9" ht="90.6" customHeight="1" x14ac:dyDescent="0.3">
      <c r="B48" s="26" t="s">
        <v>9</v>
      </c>
      <c r="C48" s="19" t="s">
        <v>138</v>
      </c>
      <c r="D48" s="19" t="s">
        <v>43</v>
      </c>
      <c r="E48" s="19" t="s">
        <v>139</v>
      </c>
      <c r="F48" s="27" t="s">
        <v>13</v>
      </c>
      <c r="G48" s="19" t="s">
        <v>140</v>
      </c>
      <c r="H48" s="29" t="s">
        <v>141</v>
      </c>
      <c r="I48" s="22" t="s">
        <v>14</v>
      </c>
    </row>
    <row r="49" spans="2:9" ht="78" x14ac:dyDescent="0.3">
      <c r="B49" s="26" t="s">
        <v>9</v>
      </c>
      <c r="C49" s="19" t="s">
        <v>142</v>
      </c>
      <c r="D49" s="19" t="s">
        <v>11</v>
      </c>
      <c r="E49" s="19" t="s">
        <v>30</v>
      </c>
      <c r="F49" s="27" t="s">
        <v>13</v>
      </c>
      <c r="G49" s="19" t="s">
        <v>143</v>
      </c>
      <c r="H49" s="29" t="s">
        <v>144</v>
      </c>
      <c r="I49" s="22" t="s">
        <v>14</v>
      </c>
    </row>
    <row r="50" spans="2:9" s="57" customFormat="1" ht="62.4" x14ac:dyDescent="0.3">
      <c r="B50" s="58" t="s">
        <v>130</v>
      </c>
      <c r="C50" s="52" t="s">
        <v>145</v>
      </c>
      <c r="D50" s="52" t="s">
        <v>11</v>
      </c>
      <c r="E50" s="52" t="s">
        <v>48</v>
      </c>
      <c r="F50" s="53" t="s">
        <v>13</v>
      </c>
      <c r="G50" s="54" t="s">
        <v>146</v>
      </c>
      <c r="H50" s="55" t="s">
        <v>147</v>
      </c>
      <c r="I50" s="56" t="s">
        <v>14</v>
      </c>
    </row>
    <row r="51" spans="2:9" ht="33.6" x14ac:dyDescent="0.3">
      <c r="B51" s="65" t="s">
        <v>148</v>
      </c>
      <c r="C51" s="65"/>
      <c r="D51" s="65"/>
      <c r="E51" s="65"/>
      <c r="F51" s="65"/>
      <c r="G51" s="66"/>
      <c r="H51" s="66"/>
      <c r="I51" s="65"/>
    </row>
    <row r="52" spans="2:9" ht="187.2" x14ac:dyDescent="0.3">
      <c r="B52" s="26" t="s">
        <v>130</v>
      </c>
      <c r="C52" s="19" t="s">
        <v>149</v>
      </c>
      <c r="D52" s="19" t="s">
        <v>11</v>
      </c>
      <c r="E52" s="19" t="s">
        <v>150</v>
      </c>
      <c r="F52" s="27" t="s">
        <v>13</v>
      </c>
      <c r="G52" s="19" t="s">
        <v>151</v>
      </c>
      <c r="H52" s="29" t="s">
        <v>152</v>
      </c>
      <c r="I52" s="19" t="s">
        <v>41</v>
      </c>
    </row>
    <row r="53" spans="2:9" ht="187.2" x14ac:dyDescent="0.3">
      <c r="B53" s="26" t="s">
        <v>130</v>
      </c>
      <c r="C53" s="59" t="s">
        <v>153</v>
      </c>
      <c r="D53" s="19" t="s">
        <v>11</v>
      </c>
      <c r="E53" s="19" t="s">
        <v>154</v>
      </c>
      <c r="F53" s="27" t="s">
        <v>155</v>
      </c>
      <c r="G53" s="19" t="s">
        <v>156</v>
      </c>
      <c r="H53" s="29" t="s">
        <v>157</v>
      </c>
      <c r="I53" s="22" t="s">
        <v>14</v>
      </c>
    </row>
    <row r="54" spans="2:9" ht="156" x14ac:dyDescent="0.3">
      <c r="B54" s="26" t="s">
        <v>9</v>
      </c>
      <c r="C54" s="19" t="s">
        <v>158</v>
      </c>
      <c r="D54" s="19" t="s">
        <v>11</v>
      </c>
      <c r="E54" s="19" t="s">
        <v>159</v>
      </c>
      <c r="F54" s="27" t="s">
        <v>160</v>
      </c>
      <c r="G54" s="19" t="s">
        <v>161</v>
      </c>
      <c r="H54" s="29" t="s">
        <v>162</v>
      </c>
      <c r="I54" s="22" t="s">
        <v>14</v>
      </c>
    </row>
    <row r="55" spans="2:9" s="57" customFormat="1" ht="109.2" x14ac:dyDescent="0.3">
      <c r="B55" s="58" t="s">
        <v>130</v>
      </c>
      <c r="C55" s="52" t="s">
        <v>163</v>
      </c>
      <c r="D55" s="52" t="s">
        <v>11</v>
      </c>
      <c r="E55" s="52" t="s">
        <v>24</v>
      </c>
      <c r="F55" s="53" t="s">
        <v>13</v>
      </c>
      <c r="G55" s="52" t="s">
        <v>164</v>
      </c>
      <c r="H55" s="60" t="s">
        <v>165</v>
      </c>
      <c r="I55" s="56" t="s">
        <v>14</v>
      </c>
    </row>
    <row r="56" spans="2:9" ht="62.4" x14ac:dyDescent="0.3">
      <c r="B56" s="26" t="s">
        <v>9</v>
      </c>
      <c r="C56" s="19" t="s">
        <v>166</v>
      </c>
      <c r="D56" s="19" t="s">
        <v>43</v>
      </c>
      <c r="E56" s="19" t="s">
        <v>167</v>
      </c>
      <c r="F56" s="27" t="s">
        <v>13</v>
      </c>
      <c r="G56" s="19" t="s">
        <v>168</v>
      </c>
      <c r="H56" s="29" t="s">
        <v>169</v>
      </c>
      <c r="I56" s="22" t="s">
        <v>14</v>
      </c>
    </row>
    <row r="57" spans="2:9" s="57" customFormat="1" ht="62.4" x14ac:dyDescent="0.3">
      <c r="B57" s="58" t="s">
        <v>130</v>
      </c>
      <c r="C57" s="52" t="s">
        <v>170</v>
      </c>
      <c r="D57" s="52" t="s">
        <v>43</v>
      </c>
      <c r="E57" s="52" t="s">
        <v>171</v>
      </c>
      <c r="F57" s="53" t="s">
        <v>160</v>
      </c>
      <c r="G57" s="52" t="s">
        <v>172</v>
      </c>
      <c r="H57" s="61" t="s">
        <v>173</v>
      </c>
      <c r="I57" s="56" t="s">
        <v>14</v>
      </c>
    </row>
    <row r="58" spans="2:9" s="57" customFormat="1" ht="78" x14ac:dyDescent="0.3">
      <c r="B58" s="58" t="s">
        <v>130</v>
      </c>
      <c r="C58" s="52" t="s">
        <v>174</v>
      </c>
      <c r="D58" s="52" t="s">
        <v>11</v>
      </c>
      <c r="E58" s="52" t="s">
        <v>175</v>
      </c>
      <c r="F58" s="53" t="s">
        <v>160</v>
      </c>
      <c r="G58" s="54" t="s">
        <v>176</v>
      </c>
      <c r="H58" s="55" t="s">
        <v>177</v>
      </c>
      <c r="I58" s="56" t="s">
        <v>14</v>
      </c>
    </row>
    <row r="59" spans="2:9" ht="62.4" x14ac:dyDescent="0.3">
      <c r="B59" s="26" t="s">
        <v>9</v>
      </c>
      <c r="C59" s="19" t="s">
        <v>178</v>
      </c>
      <c r="D59" s="19" t="s">
        <v>11</v>
      </c>
      <c r="E59" s="19" t="s">
        <v>28</v>
      </c>
      <c r="F59" s="27" t="s">
        <v>13</v>
      </c>
      <c r="G59" s="19" t="s">
        <v>179</v>
      </c>
      <c r="H59" s="29" t="s">
        <v>180</v>
      </c>
      <c r="I59" s="22" t="s">
        <v>14</v>
      </c>
    </row>
    <row r="60" spans="2:9" ht="62.4" x14ac:dyDescent="0.3">
      <c r="B60" s="26" t="s">
        <v>9</v>
      </c>
      <c r="C60" s="19" t="s">
        <v>181</v>
      </c>
      <c r="D60" s="19" t="s">
        <v>11</v>
      </c>
      <c r="E60" s="19" t="s">
        <v>20</v>
      </c>
      <c r="F60" s="27" t="s">
        <v>13</v>
      </c>
      <c r="G60" s="19" t="s">
        <v>182</v>
      </c>
      <c r="H60" s="29" t="s">
        <v>183</v>
      </c>
      <c r="I60" s="22" t="s">
        <v>14</v>
      </c>
    </row>
    <row r="61" spans="2:9" ht="62.4" x14ac:dyDescent="0.3">
      <c r="B61" s="26" t="s">
        <v>9</v>
      </c>
      <c r="C61" s="19" t="s">
        <v>184</v>
      </c>
      <c r="D61" s="19" t="s">
        <v>43</v>
      </c>
      <c r="E61" s="19" t="s">
        <v>185</v>
      </c>
      <c r="F61" s="27" t="s">
        <v>155</v>
      </c>
      <c r="G61" s="19" t="s">
        <v>172</v>
      </c>
      <c r="H61" s="29" t="s">
        <v>186</v>
      </c>
      <c r="I61" s="22" t="s">
        <v>14</v>
      </c>
    </row>
    <row r="62" spans="2:9" s="57" customFormat="1" ht="78" x14ac:dyDescent="0.3">
      <c r="B62" s="58" t="s">
        <v>130</v>
      </c>
      <c r="C62" s="52" t="s">
        <v>187</v>
      </c>
      <c r="D62" s="52" t="s">
        <v>11</v>
      </c>
      <c r="E62" s="52" t="s">
        <v>159</v>
      </c>
      <c r="F62" s="53" t="s">
        <v>160</v>
      </c>
      <c r="G62" s="52" t="s">
        <v>161</v>
      </c>
      <c r="H62" s="61" t="s">
        <v>188</v>
      </c>
      <c r="I62" s="56" t="s">
        <v>14</v>
      </c>
    </row>
    <row r="63" spans="2:9" ht="93.6" x14ac:dyDescent="0.3">
      <c r="B63" s="26" t="s">
        <v>9</v>
      </c>
      <c r="C63" s="19" t="s">
        <v>189</v>
      </c>
      <c r="D63" s="19" t="s">
        <v>11</v>
      </c>
      <c r="E63" s="19" t="s">
        <v>159</v>
      </c>
      <c r="F63" s="27" t="s">
        <v>155</v>
      </c>
      <c r="G63" s="19" t="s">
        <v>161</v>
      </c>
      <c r="H63" s="29" t="s">
        <v>190</v>
      </c>
      <c r="I63" s="22" t="s">
        <v>14</v>
      </c>
    </row>
    <row r="64" spans="2:9" ht="218.4" x14ac:dyDescent="0.3">
      <c r="B64" s="26" t="s">
        <v>9</v>
      </c>
      <c r="C64" s="19" t="s">
        <v>191</v>
      </c>
      <c r="D64" s="19" t="s">
        <v>43</v>
      </c>
      <c r="E64" s="19" t="s">
        <v>192</v>
      </c>
      <c r="F64" s="27" t="s">
        <v>155</v>
      </c>
      <c r="G64" s="19" t="s">
        <v>193</v>
      </c>
      <c r="H64" s="29" t="s">
        <v>194</v>
      </c>
      <c r="I64" s="22" t="s">
        <v>14</v>
      </c>
    </row>
    <row r="65" spans="2:9" s="57" customFormat="1" ht="124.8" x14ac:dyDescent="0.3">
      <c r="B65" s="58" t="s">
        <v>130</v>
      </c>
      <c r="C65" s="52" t="s">
        <v>195</v>
      </c>
      <c r="D65" s="52" t="s">
        <v>11</v>
      </c>
      <c r="E65" s="52" t="s">
        <v>196</v>
      </c>
      <c r="F65" s="53" t="s">
        <v>160</v>
      </c>
      <c r="G65" s="52" t="s">
        <v>197</v>
      </c>
      <c r="H65" s="61" t="s">
        <v>198</v>
      </c>
      <c r="I65" s="56" t="s">
        <v>14</v>
      </c>
    </row>
    <row r="66" spans="2:9" ht="156" x14ac:dyDescent="0.3">
      <c r="B66" s="26" t="s">
        <v>130</v>
      </c>
      <c r="C66" s="19" t="s">
        <v>199</v>
      </c>
      <c r="D66" s="19" t="s">
        <v>11</v>
      </c>
      <c r="E66" s="19" t="s">
        <v>200</v>
      </c>
      <c r="F66" s="27" t="s">
        <v>155</v>
      </c>
      <c r="G66" s="19" t="s">
        <v>201</v>
      </c>
      <c r="H66" s="29" t="s">
        <v>202</v>
      </c>
      <c r="I66" s="22" t="s">
        <v>14</v>
      </c>
    </row>
    <row r="67" spans="2:9" s="57" customFormat="1" ht="140.4" x14ac:dyDescent="0.3">
      <c r="B67" s="58" t="s">
        <v>130</v>
      </c>
      <c r="C67" s="52" t="s">
        <v>203</v>
      </c>
      <c r="D67" s="52" t="s">
        <v>11</v>
      </c>
      <c r="E67" s="52" t="s">
        <v>196</v>
      </c>
      <c r="F67" s="53" t="s">
        <v>160</v>
      </c>
      <c r="G67" s="52" t="s">
        <v>201</v>
      </c>
      <c r="H67" s="61" t="s">
        <v>204</v>
      </c>
      <c r="I67" s="56" t="s">
        <v>14</v>
      </c>
    </row>
    <row r="68" spans="2:9" ht="78" x14ac:dyDescent="0.3">
      <c r="B68" s="26" t="s">
        <v>9</v>
      </c>
      <c r="C68" s="19" t="s">
        <v>205</v>
      </c>
      <c r="D68" s="19" t="s">
        <v>43</v>
      </c>
      <c r="E68" s="19" t="s">
        <v>206</v>
      </c>
      <c r="F68" s="27" t="s">
        <v>13</v>
      </c>
      <c r="G68" s="19" t="s">
        <v>207</v>
      </c>
      <c r="H68" s="33" t="s">
        <v>208</v>
      </c>
      <c r="I68" s="22" t="s">
        <v>14</v>
      </c>
    </row>
    <row r="69" spans="2:9" ht="78" x14ac:dyDescent="0.3">
      <c r="B69" s="26" t="s">
        <v>130</v>
      </c>
      <c r="C69" s="19" t="s">
        <v>209</v>
      </c>
      <c r="D69" s="19" t="s">
        <v>11</v>
      </c>
      <c r="E69" s="19" t="s">
        <v>159</v>
      </c>
      <c r="F69" s="27" t="s">
        <v>155</v>
      </c>
      <c r="G69" s="19" t="s">
        <v>210</v>
      </c>
      <c r="H69" s="29" t="s">
        <v>211</v>
      </c>
      <c r="I69" s="22" t="s">
        <v>14</v>
      </c>
    </row>
    <row r="70" spans="2:9" s="57" customFormat="1" ht="78" x14ac:dyDescent="0.3">
      <c r="B70" s="58" t="s">
        <v>130</v>
      </c>
      <c r="C70" s="52" t="s">
        <v>212</v>
      </c>
      <c r="D70" s="52" t="s">
        <v>11</v>
      </c>
      <c r="E70" s="52" t="s">
        <v>159</v>
      </c>
      <c r="F70" s="53" t="s">
        <v>160</v>
      </c>
      <c r="G70" s="52" t="s">
        <v>213</v>
      </c>
      <c r="H70" s="62" t="s">
        <v>214</v>
      </c>
      <c r="I70" s="56" t="s">
        <v>14</v>
      </c>
    </row>
    <row r="71" spans="2:9" ht="78" x14ac:dyDescent="0.3">
      <c r="B71" s="26" t="s">
        <v>9</v>
      </c>
      <c r="C71" s="19" t="s">
        <v>215</v>
      </c>
      <c r="D71" s="19" t="s">
        <v>11</v>
      </c>
      <c r="E71" s="19" t="s">
        <v>216</v>
      </c>
      <c r="F71" s="27" t="s">
        <v>155</v>
      </c>
      <c r="G71" s="19" t="s">
        <v>217</v>
      </c>
      <c r="H71" s="33" t="s">
        <v>218</v>
      </c>
      <c r="I71" s="22" t="s">
        <v>14</v>
      </c>
    </row>
    <row r="72" spans="2:9" s="57" customFormat="1" ht="93.6" x14ac:dyDescent="0.3">
      <c r="B72" s="58" t="s">
        <v>130</v>
      </c>
      <c r="C72" s="52" t="s">
        <v>219</v>
      </c>
      <c r="D72" s="52" t="s">
        <v>11</v>
      </c>
      <c r="E72" s="52" t="s">
        <v>216</v>
      </c>
      <c r="F72" s="53" t="s">
        <v>160</v>
      </c>
      <c r="G72" s="52" t="s">
        <v>217</v>
      </c>
      <c r="H72" s="63" t="s">
        <v>220</v>
      </c>
      <c r="I72" s="56" t="s">
        <v>14</v>
      </c>
    </row>
    <row r="73" spans="2:9" ht="156" x14ac:dyDescent="0.3">
      <c r="B73" s="26" t="s">
        <v>130</v>
      </c>
      <c r="C73" s="19" t="s">
        <v>221</v>
      </c>
      <c r="D73" s="19" t="s">
        <v>11</v>
      </c>
      <c r="E73" s="19" t="s">
        <v>222</v>
      </c>
      <c r="F73" s="27"/>
      <c r="G73" s="19" t="s">
        <v>223</v>
      </c>
      <c r="H73" s="33" t="s">
        <v>224</v>
      </c>
      <c r="I73" s="22" t="s">
        <v>14</v>
      </c>
    </row>
    <row r="74" spans="2:9" ht="93.6" x14ac:dyDescent="0.3">
      <c r="B74" s="26" t="s">
        <v>130</v>
      </c>
      <c r="C74" s="19" t="s">
        <v>225</v>
      </c>
      <c r="D74" s="19" t="s">
        <v>11</v>
      </c>
      <c r="E74" s="19" t="s">
        <v>159</v>
      </c>
      <c r="F74" s="27" t="s">
        <v>160</v>
      </c>
      <c r="G74" s="19" t="s">
        <v>226</v>
      </c>
      <c r="H74" s="33" t="s">
        <v>227</v>
      </c>
      <c r="I74" s="22" t="s">
        <v>14</v>
      </c>
    </row>
    <row r="75" spans="2:9" ht="46.8" x14ac:dyDescent="0.3">
      <c r="B75" s="26" t="s">
        <v>130</v>
      </c>
      <c r="C75" s="19" t="s">
        <v>228</v>
      </c>
      <c r="D75" s="19" t="s">
        <v>43</v>
      </c>
      <c r="E75" s="19" t="s">
        <v>229</v>
      </c>
      <c r="F75" s="27" t="s">
        <v>155</v>
      </c>
      <c r="G75" s="19" t="s">
        <v>230</v>
      </c>
      <c r="H75" s="33" t="s">
        <v>231</v>
      </c>
      <c r="I75" s="22" t="s">
        <v>41</v>
      </c>
    </row>
    <row r="76" spans="2:9" ht="33.6" x14ac:dyDescent="0.3">
      <c r="B76" s="65" t="s">
        <v>232</v>
      </c>
      <c r="C76" s="65"/>
      <c r="D76" s="65"/>
      <c r="E76" s="65"/>
      <c r="F76" s="65"/>
      <c r="G76" s="66"/>
      <c r="H76" s="66"/>
      <c r="I76" s="65"/>
    </row>
    <row r="77" spans="2:9" ht="62.4" x14ac:dyDescent="0.3">
      <c r="B77" s="26" t="s">
        <v>9</v>
      </c>
      <c r="C77" s="19" t="s">
        <v>233</v>
      </c>
      <c r="D77" s="19" t="s">
        <v>11</v>
      </c>
      <c r="E77" s="19" t="s">
        <v>77</v>
      </c>
      <c r="F77" s="27" t="s">
        <v>13</v>
      </c>
      <c r="G77" s="19" t="s">
        <v>234</v>
      </c>
      <c r="H77" s="33" t="s">
        <v>235</v>
      </c>
      <c r="I77" s="22" t="s">
        <v>14</v>
      </c>
    </row>
    <row r="78" spans="2:9" ht="46.8" x14ac:dyDescent="0.3">
      <c r="B78" s="36" t="s">
        <v>130</v>
      </c>
      <c r="C78" s="19" t="s">
        <v>236</v>
      </c>
      <c r="D78" s="37" t="s">
        <v>43</v>
      </c>
      <c r="E78" s="37" t="s">
        <v>237</v>
      </c>
      <c r="F78" s="38" t="s">
        <v>160</v>
      </c>
      <c r="G78" s="37" t="s">
        <v>238</v>
      </c>
      <c r="H78" s="39" t="s">
        <v>231</v>
      </c>
      <c r="I78" s="40" t="s">
        <v>41</v>
      </c>
    </row>
    <row r="79" spans="2:9" ht="78" x14ac:dyDescent="0.3">
      <c r="B79" s="26" t="s">
        <v>9</v>
      </c>
      <c r="C79" s="19" t="s">
        <v>239</v>
      </c>
      <c r="D79" s="19" t="s">
        <v>43</v>
      </c>
      <c r="E79" s="19" t="s">
        <v>159</v>
      </c>
      <c r="F79" s="27" t="s">
        <v>155</v>
      </c>
      <c r="G79" s="19" t="s">
        <v>240</v>
      </c>
      <c r="H79" s="33" t="s">
        <v>241</v>
      </c>
      <c r="I79" s="22" t="s">
        <v>14</v>
      </c>
    </row>
    <row r="80" spans="2:9" ht="109.2" x14ac:dyDescent="0.3">
      <c r="B80" s="26" t="s">
        <v>9</v>
      </c>
      <c r="C80" s="19" t="s">
        <v>242</v>
      </c>
      <c r="D80" s="19" t="s">
        <v>11</v>
      </c>
      <c r="E80" s="19" t="s">
        <v>159</v>
      </c>
      <c r="F80" s="27" t="s">
        <v>155</v>
      </c>
      <c r="G80" s="19" t="s">
        <v>243</v>
      </c>
      <c r="H80" s="33" t="s">
        <v>244</v>
      </c>
      <c r="I80" s="22" t="s">
        <v>14</v>
      </c>
    </row>
    <row r="81" spans="2:9" ht="46.8" x14ac:dyDescent="0.3">
      <c r="B81" s="36" t="s">
        <v>130</v>
      </c>
      <c r="C81" s="19" t="s">
        <v>245</v>
      </c>
      <c r="D81" s="37" t="s">
        <v>43</v>
      </c>
      <c r="E81" s="37" t="s">
        <v>246</v>
      </c>
      <c r="F81" s="38" t="s">
        <v>160</v>
      </c>
      <c r="G81" s="37" t="s">
        <v>238</v>
      </c>
      <c r="H81" s="39" t="s">
        <v>231</v>
      </c>
      <c r="I81" s="40" t="s">
        <v>41</v>
      </c>
    </row>
    <row r="82" spans="2:9" ht="46.8" x14ac:dyDescent="0.3">
      <c r="B82" s="26" t="s">
        <v>130</v>
      </c>
      <c r="C82" s="19" t="s">
        <v>247</v>
      </c>
      <c r="D82" s="19" t="s">
        <v>43</v>
      </c>
      <c r="E82" s="19" t="s">
        <v>248</v>
      </c>
      <c r="F82" s="19" t="s">
        <v>13</v>
      </c>
      <c r="G82" s="19" t="s">
        <v>249</v>
      </c>
      <c r="H82" s="29" t="s">
        <v>250</v>
      </c>
      <c r="I82" s="19" t="s">
        <v>41</v>
      </c>
    </row>
    <row r="83" spans="2:9" ht="31.2" x14ac:dyDescent="0.3">
      <c r="B83" s="26" t="s">
        <v>130</v>
      </c>
      <c r="C83" s="19" t="s">
        <v>251</v>
      </c>
      <c r="D83" s="19" t="s">
        <v>43</v>
      </c>
      <c r="E83" s="19" t="s">
        <v>20</v>
      </c>
      <c r="F83" s="19" t="s">
        <v>13</v>
      </c>
      <c r="G83" s="19" t="s">
        <v>252</v>
      </c>
      <c r="H83" s="29" t="s">
        <v>253</v>
      </c>
      <c r="I83" s="19" t="s">
        <v>14</v>
      </c>
    </row>
    <row r="84" spans="2:9" ht="31.2" x14ac:dyDescent="0.3">
      <c r="B84" s="47" t="s">
        <v>9</v>
      </c>
      <c r="C84" s="19" t="s">
        <v>254</v>
      </c>
      <c r="D84" s="19" t="s">
        <v>43</v>
      </c>
      <c r="E84" s="19" t="s">
        <v>20</v>
      </c>
      <c r="F84" s="19" t="s">
        <v>21</v>
      </c>
      <c r="G84" s="19" t="s">
        <v>255</v>
      </c>
      <c r="H84" s="29" t="s">
        <v>253</v>
      </c>
      <c r="I84" s="19" t="s">
        <v>14</v>
      </c>
    </row>
    <row r="85" spans="2:9" ht="78" x14ac:dyDescent="0.3">
      <c r="B85" s="26" t="s">
        <v>130</v>
      </c>
      <c r="C85" s="19" t="s">
        <v>256</v>
      </c>
      <c r="D85" s="19" t="s">
        <v>11</v>
      </c>
      <c r="E85" s="19" t="s">
        <v>28</v>
      </c>
      <c r="F85" s="19" t="s">
        <v>13</v>
      </c>
      <c r="G85" s="19" t="s">
        <v>257</v>
      </c>
      <c r="H85" s="29" t="s">
        <v>258</v>
      </c>
      <c r="I85" s="19" t="s">
        <v>14</v>
      </c>
    </row>
    <row r="86" spans="2:9" ht="46.8" x14ac:dyDescent="0.3">
      <c r="B86" s="26" t="s">
        <v>130</v>
      </c>
      <c r="C86" s="19" t="s">
        <v>259</v>
      </c>
      <c r="D86" s="19" t="s">
        <v>43</v>
      </c>
      <c r="E86" s="19" t="s">
        <v>12</v>
      </c>
      <c r="F86" s="19" t="s">
        <v>13</v>
      </c>
      <c r="G86" s="19" t="s">
        <v>260</v>
      </c>
      <c r="H86" s="29" t="s">
        <v>261</v>
      </c>
      <c r="I86" s="19" t="s">
        <v>41</v>
      </c>
    </row>
    <row r="87" spans="2:9" ht="109.2" x14ac:dyDescent="0.3">
      <c r="B87" s="26" t="s">
        <v>130</v>
      </c>
      <c r="C87" s="19" t="s">
        <v>262</v>
      </c>
      <c r="D87" s="19" t="s">
        <v>11</v>
      </c>
      <c r="E87" s="19" t="s">
        <v>37</v>
      </c>
      <c r="F87" s="19" t="s">
        <v>38</v>
      </c>
      <c r="G87" s="19" t="s">
        <v>263</v>
      </c>
      <c r="H87" s="29" t="s">
        <v>264</v>
      </c>
      <c r="I87" s="19" t="s">
        <v>14</v>
      </c>
    </row>
    <row r="88" spans="2:9" ht="62.4" x14ac:dyDescent="0.3">
      <c r="B88" s="26" t="s">
        <v>9</v>
      </c>
      <c r="C88" s="19" t="s">
        <v>265</v>
      </c>
      <c r="D88" s="19" t="s">
        <v>43</v>
      </c>
      <c r="E88" s="19" t="s">
        <v>48</v>
      </c>
      <c r="F88" s="27" t="s">
        <v>13</v>
      </c>
      <c r="G88" s="19" t="s">
        <v>266</v>
      </c>
      <c r="H88" s="29" t="s">
        <v>267</v>
      </c>
      <c r="I88" s="22" t="s">
        <v>41</v>
      </c>
    </row>
    <row r="89" spans="2:9" ht="31.2" x14ac:dyDescent="0.3">
      <c r="B89" s="26" t="s">
        <v>130</v>
      </c>
      <c r="C89" s="19" t="s">
        <v>268</v>
      </c>
      <c r="D89" s="19" t="s">
        <v>43</v>
      </c>
      <c r="E89" s="19" t="s">
        <v>20</v>
      </c>
      <c r="F89" s="27" t="s">
        <v>13</v>
      </c>
      <c r="G89" s="23" t="s">
        <v>269</v>
      </c>
      <c r="H89" s="30" t="s">
        <v>270</v>
      </c>
      <c r="I89" s="22" t="s">
        <v>14</v>
      </c>
    </row>
    <row r="90" spans="2:9" ht="31.2" x14ac:dyDescent="0.3">
      <c r="B90" s="26" t="s">
        <v>9</v>
      </c>
      <c r="C90" s="19" t="s">
        <v>271</v>
      </c>
      <c r="D90" s="19" t="s">
        <v>11</v>
      </c>
      <c r="E90" s="19" t="s">
        <v>248</v>
      </c>
      <c r="F90" s="27" t="s">
        <v>13</v>
      </c>
      <c r="G90" s="23" t="s">
        <v>272</v>
      </c>
      <c r="H90" s="30" t="s">
        <v>273</v>
      </c>
      <c r="I90" s="22" t="s">
        <v>14</v>
      </c>
    </row>
    <row r="91" spans="2:9" ht="31.2" x14ac:dyDescent="0.3">
      <c r="B91" s="26" t="s">
        <v>130</v>
      </c>
      <c r="C91" s="19" t="s">
        <v>274</v>
      </c>
      <c r="D91" s="19" t="s">
        <v>11</v>
      </c>
      <c r="E91" s="19" t="s">
        <v>28</v>
      </c>
      <c r="F91" s="27" t="s">
        <v>13</v>
      </c>
      <c r="G91" s="19" t="s">
        <v>275</v>
      </c>
      <c r="H91" s="28" t="s">
        <v>276</v>
      </c>
      <c r="I91" s="22" t="s">
        <v>41</v>
      </c>
    </row>
    <row r="92" spans="2:9" ht="109.2" x14ac:dyDescent="0.3">
      <c r="B92" s="26" t="s">
        <v>9</v>
      </c>
      <c r="C92" s="19" t="s">
        <v>277</v>
      </c>
      <c r="D92" s="19" t="s">
        <v>43</v>
      </c>
      <c r="E92" s="19" t="s">
        <v>278</v>
      </c>
      <c r="F92" s="27" t="s">
        <v>13</v>
      </c>
      <c r="G92" s="19" t="s">
        <v>279</v>
      </c>
      <c r="H92" s="28" t="s">
        <v>280</v>
      </c>
      <c r="I92" s="22" t="s">
        <v>14</v>
      </c>
    </row>
    <row r="93" spans="2:9" ht="33.6" x14ac:dyDescent="0.3">
      <c r="B93" s="65" t="s">
        <v>281</v>
      </c>
      <c r="C93" s="65"/>
      <c r="D93" s="65"/>
      <c r="E93" s="65"/>
      <c r="F93" s="65"/>
      <c r="G93" s="66"/>
      <c r="H93" s="66"/>
      <c r="I93" s="65"/>
    </row>
    <row r="94" spans="2:9" ht="46.8" x14ac:dyDescent="0.3">
      <c r="B94" s="26" t="s">
        <v>130</v>
      </c>
      <c r="C94" s="19" t="s">
        <v>282</v>
      </c>
      <c r="D94" s="19" t="s">
        <v>11</v>
      </c>
      <c r="E94" s="19" t="s">
        <v>30</v>
      </c>
      <c r="F94" s="27" t="s">
        <v>13</v>
      </c>
      <c r="G94" s="19" t="s">
        <v>143</v>
      </c>
      <c r="H94" s="29" t="s">
        <v>283</v>
      </c>
      <c r="I94" s="22" t="s">
        <v>14</v>
      </c>
    </row>
    <row r="95" spans="2:9" ht="109.2" x14ac:dyDescent="0.3">
      <c r="B95" s="26" t="s">
        <v>130</v>
      </c>
      <c r="C95" s="19" t="s">
        <v>284</v>
      </c>
      <c r="D95" s="19" t="s">
        <v>11</v>
      </c>
      <c r="E95" s="19" t="s">
        <v>216</v>
      </c>
      <c r="F95" s="27" t="s">
        <v>160</v>
      </c>
      <c r="G95" s="19" t="s">
        <v>217</v>
      </c>
      <c r="H95" s="50" t="s">
        <v>285</v>
      </c>
      <c r="I95" s="22" t="s">
        <v>14</v>
      </c>
    </row>
    <row r="96" spans="2:9" ht="109.2" x14ac:dyDescent="0.3">
      <c r="B96" s="26" t="s">
        <v>9</v>
      </c>
      <c r="C96" s="19" t="s">
        <v>286</v>
      </c>
      <c r="D96" s="19" t="s">
        <v>11</v>
      </c>
      <c r="E96" s="19" t="s">
        <v>216</v>
      </c>
      <c r="F96" s="27" t="s">
        <v>155</v>
      </c>
      <c r="G96" s="19" t="s">
        <v>217</v>
      </c>
      <c r="H96" s="33" t="s">
        <v>287</v>
      </c>
      <c r="I96" s="22" t="s">
        <v>14</v>
      </c>
    </row>
    <row r="97" spans="2:9" s="57" customFormat="1" ht="109.2" x14ac:dyDescent="0.3">
      <c r="B97" s="58" t="s">
        <v>130</v>
      </c>
      <c r="C97" s="52" t="s">
        <v>288</v>
      </c>
      <c r="D97" s="52" t="s">
        <v>43</v>
      </c>
      <c r="E97" s="52" t="s">
        <v>289</v>
      </c>
      <c r="F97" s="52" t="s">
        <v>155</v>
      </c>
      <c r="G97" s="52" t="s">
        <v>290</v>
      </c>
      <c r="H97" s="61" t="s">
        <v>291</v>
      </c>
      <c r="I97" s="52" t="s">
        <v>14</v>
      </c>
    </row>
    <row r="98" spans="2:9" ht="124.8" x14ac:dyDescent="0.3">
      <c r="B98" s="26" t="s">
        <v>9</v>
      </c>
      <c r="C98" s="19" t="s">
        <v>292</v>
      </c>
      <c r="D98" s="19" t="s">
        <v>11</v>
      </c>
      <c r="E98" s="19" t="s">
        <v>127</v>
      </c>
      <c r="F98" s="19" t="s">
        <v>160</v>
      </c>
      <c r="G98" s="19" t="s">
        <v>293</v>
      </c>
      <c r="H98" s="29" t="s">
        <v>294</v>
      </c>
      <c r="I98" s="19" t="s">
        <v>14</v>
      </c>
    </row>
    <row r="99" spans="2:9" ht="46.8" x14ac:dyDescent="0.3">
      <c r="B99" s="26" t="s">
        <v>130</v>
      </c>
      <c r="C99" s="19" t="s">
        <v>295</v>
      </c>
      <c r="D99" s="19" t="s">
        <v>11</v>
      </c>
      <c r="E99" s="19" t="s">
        <v>159</v>
      </c>
      <c r="F99" s="19" t="s">
        <v>160</v>
      </c>
      <c r="G99" s="19" t="s">
        <v>296</v>
      </c>
      <c r="H99" s="29" t="s">
        <v>297</v>
      </c>
      <c r="I99" s="19" t="s">
        <v>41</v>
      </c>
    </row>
    <row r="100" spans="2:9" ht="46.8" x14ac:dyDescent="0.3">
      <c r="B100" s="26" t="s">
        <v>130</v>
      </c>
      <c r="C100" s="19" t="s">
        <v>298</v>
      </c>
      <c r="D100" s="19" t="s">
        <v>11</v>
      </c>
      <c r="E100" s="19" t="s">
        <v>159</v>
      </c>
      <c r="F100" s="19" t="s">
        <v>155</v>
      </c>
      <c r="G100" s="19" t="s">
        <v>296</v>
      </c>
      <c r="H100" s="29" t="s">
        <v>297</v>
      </c>
      <c r="I100" s="19" t="s">
        <v>41</v>
      </c>
    </row>
    <row r="101" spans="2:9" s="57" customFormat="1" ht="202.8" x14ac:dyDescent="0.3">
      <c r="B101" s="58" t="s">
        <v>130</v>
      </c>
      <c r="C101" s="52" t="s">
        <v>299</v>
      </c>
      <c r="D101" s="52" t="s">
        <v>11</v>
      </c>
      <c r="E101" s="52" t="s">
        <v>300</v>
      </c>
      <c r="F101" s="52" t="s">
        <v>155</v>
      </c>
      <c r="G101" s="52" t="s">
        <v>156</v>
      </c>
      <c r="H101" s="61" t="s">
        <v>301</v>
      </c>
      <c r="I101" s="52" t="s">
        <v>14</v>
      </c>
    </row>
    <row r="102" spans="2:9" s="57" customFormat="1" ht="171.6" x14ac:dyDescent="0.3">
      <c r="B102" s="58" t="s">
        <v>130</v>
      </c>
      <c r="C102" s="52" t="s">
        <v>302</v>
      </c>
      <c r="D102" s="52" t="s">
        <v>11</v>
      </c>
      <c r="E102" s="52" t="s">
        <v>303</v>
      </c>
      <c r="F102" s="52" t="s">
        <v>155</v>
      </c>
      <c r="G102" s="52" t="s">
        <v>304</v>
      </c>
      <c r="H102" s="61" t="s">
        <v>305</v>
      </c>
      <c r="I102" s="52" t="s">
        <v>14</v>
      </c>
    </row>
    <row r="103" spans="2:9" ht="202.8" x14ac:dyDescent="0.3">
      <c r="B103" s="26" t="s">
        <v>9</v>
      </c>
      <c r="C103" s="19" t="s">
        <v>306</v>
      </c>
      <c r="D103" s="19" t="s">
        <v>11</v>
      </c>
      <c r="E103" s="19" t="s">
        <v>77</v>
      </c>
      <c r="F103" s="19" t="s">
        <v>155</v>
      </c>
      <c r="G103" s="19" t="s">
        <v>307</v>
      </c>
      <c r="H103" s="29" t="s">
        <v>308</v>
      </c>
      <c r="I103" s="19" t="s">
        <v>14</v>
      </c>
    </row>
    <row r="104" spans="2:9" ht="171.6" x14ac:dyDescent="0.3">
      <c r="B104" s="26" t="s">
        <v>9</v>
      </c>
      <c r="C104" s="19" t="s">
        <v>309</v>
      </c>
      <c r="D104" s="19" t="s">
        <v>11</v>
      </c>
      <c r="E104" s="19" t="s">
        <v>310</v>
      </c>
      <c r="F104" s="19" t="s">
        <v>160</v>
      </c>
      <c r="G104" s="19" t="s">
        <v>197</v>
      </c>
      <c r="H104" s="50" t="s">
        <v>311</v>
      </c>
      <c r="I104" s="19" t="s">
        <v>14</v>
      </c>
    </row>
    <row r="105" spans="2:9" ht="93.6" x14ac:dyDescent="0.3">
      <c r="B105" s="26" t="s">
        <v>130</v>
      </c>
      <c r="C105" s="19" t="s">
        <v>312</v>
      </c>
      <c r="D105" s="19" t="s">
        <v>11</v>
      </c>
      <c r="E105" s="19" t="s">
        <v>313</v>
      </c>
      <c r="F105" s="19" t="s">
        <v>160</v>
      </c>
      <c r="G105" s="19" t="s">
        <v>314</v>
      </c>
      <c r="H105" s="50" t="s">
        <v>315</v>
      </c>
      <c r="I105" s="19" t="s">
        <v>14</v>
      </c>
    </row>
    <row r="106" spans="2:9" ht="31.2" x14ac:dyDescent="0.3">
      <c r="B106" s="26" t="s">
        <v>130</v>
      </c>
      <c r="C106" s="19" t="s">
        <v>316</v>
      </c>
      <c r="D106" s="19" t="s">
        <v>43</v>
      </c>
      <c r="E106" s="19" t="s">
        <v>317</v>
      </c>
      <c r="F106" s="19" t="s">
        <v>160</v>
      </c>
      <c r="G106" s="19" t="s">
        <v>318</v>
      </c>
      <c r="H106" s="29" t="s">
        <v>319</v>
      </c>
      <c r="I106" s="19" t="s">
        <v>320</v>
      </c>
    </row>
    <row r="107" spans="2:9" ht="46.8" x14ac:dyDescent="0.3">
      <c r="B107" s="26" t="s">
        <v>130</v>
      </c>
      <c r="C107" s="19" t="s">
        <v>321</v>
      </c>
      <c r="D107" s="19" t="s">
        <v>11</v>
      </c>
      <c r="E107" s="19" t="s">
        <v>322</v>
      </c>
      <c r="F107" s="19" t="s">
        <v>38</v>
      </c>
      <c r="G107" s="19" t="s">
        <v>323</v>
      </c>
      <c r="H107" s="29" t="s">
        <v>324</v>
      </c>
      <c r="I107" s="19"/>
    </row>
    <row r="108" spans="2:9" ht="124.8" x14ac:dyDescent="0.3">
      <c r="B108" s="26" t="s">
        <v>130</v>
      </c>
      <c r="C108" s="19" t="s">
        <v>325</v>
      </c>
      <c r="D108" s="19" t="s">
        <v>11</v>
      </c>
      <c r="E108" s="19" t="s">
        <v>326</v>
      </c>
      <c r="F108" s="19" t="s">
        <v>155</v>
      </c>
      <c r="G108" s="19" t="s">
        <v>327</v>
      </c>
      <c r="H108" s="29" t="s">
        <v>328</v>
      </c>
      <c r="I108" s="19" t="s">
        <v>14</v>
      </c>
    </row>
    <row r="109" spans="2:9" ht="31.2" x14ac:dyDescent="0.3">
      <c r="B109" s="26" t="s">
        <v>130</v>
      </c>
      <c r="C109" s="19" t="s">
        <v>329</v>
      </c>
      <c r="D109" s="19" t="s">
        <v>11</v>
      </c>
      <c r="E109" s="19" t="s">
        <v>330</v>
      </c>
      <c r="F109" s="19" t="s">
        <v>38</v>
      </c>
      <c r="G109" s="19" t="s">
        <v>331</v>
      </c>
      <c r="H109" s="29" t="s">
        <v>331</v>
      </c>
      <c r="I109" s="19" t="s">
        <v>14</v>
      </c>
    </row>
    <row r="110" spans="2:9" ht="62.4" x14ac:dyDescent="0.3">
      <c r="B110" s="26" t="s">
        <v>130</v>
      </c>
      <c r="C110" s="19" t="s">
        <v>332</v>
      </c>
      <c r="D110" s="19" t="s">
        <v>43</v>
      </c>
      <c r="E110" s="19" t="s">
        <v>333</v>
      </c>
      <c r="F110" s="19" t="s">
        <v>38</v>
      </c>
      <c r="G110" s="19" t="s">
        <v>334</v>
      </c>
      <c r="H110" s="29" t="s">
        <v>335</v>
      </c>
      <c r="I110" s="19" t="s">
        <v>14</v>
      </c>
    </row>
    <row r="111" spans="2:9" ht="280.8" x14ac:dyDescent="0.3">
      <c r="B111" s="26" t="s">
        <v>130</v>
      </c>
      <c r="C111" s="19" t="s">
        <v>336</v>
      </c>
      <c r="D111" s="19" t="s">
        <v>43</v>
      </c>
      <c r="E111" s="19" t="s">
        <v>30</v>
      </c>
      <c r="F111" s="19" t="s">
        <v>13</v>
      </c>
      <c r="G111" s="19" t="s">
        <v>337</v>
      </c>
      <c r="H111" s="29" t="s">
        <v>338</v>
      </c>
      <c r="I111" s="19" t="s">
        <v>41</v>
      </c>
    </row>
  </sheetData>
  <autoFilter ref="B2:I111" xr:uid="{00000000-0001-0000-0000-000000000000}"/>
  <mergeCells count="5">
    <mergeCell ref="C1:I1"/>
    <mergeCell ref="B3:I3"/>
    <mergeCell ref="B51:I51"/>
    <mergeCell ref="B93:I93"/>
    <mergeCell ref="B76:I76"/>
  </mergeCells>
  <phoneticPr fontId="7" type="noConversion"/>
  <conditionalFormatting sqref="D12 G12:I12">
    <cfRule type="containsText" dxfId="51" priority="16" operator="containsText" text="Structurant">
      <formula>NOT(ISERROR(SEARCH("Structurant",D12)))</formula>
    </cfRule>
    <cfRule type="containsText" dxfId="50" priority="17" operator="containsText" text="Saturant">
      <formula>NOT(ISERROR(SEARCH("Saturant",D12)))</formula>
    </cfRule>
  </conditionalFormatting>
  <conditionalFormatting sqref="D4:F4 F87">
    <cfRule type="containsText" dxfId="40" priority="41" operator="containsText" text="Structurant">
      <formula>NOT(ISERROR(SEARCH("Structurant",D4)))</formula>
    </cfRule>
    <cfRule type="containsText" dxfId="39" priority="42" operator="containsText" text="Saturant">
      <formula>NOT(ISERROR(SEARCH("Saturant",D4)))</formula>
    </cfRule>
  </conditionalFormatting>
  <conditionalFormatting sqref="D5:F5 D7:F50 D52:F75 D78:F86 D87:E87 D88:F92 D94:F111">
    <cfRule type="containsText" dxfId="38" priority="65" operator="containsText" text="Saturant">
      <formula>NOT(ISERROR(SEARCH("Saturant",D5)))</formula>
    </cfRule>
  </conditionalFormatting>
  <conditionalFormatting sqref="D6:F10">
    <cfRule type="containsText" dxfId="37" priority="5" operator="containsText" text="Structurant">
      <formula>NOT(ISERROR(SEARCH("Structurant",D6)))</formula>
    </cfRule>
    <cfRule type="containsText" dxfId="36" priority="6" operator="containsText" text="Saturant">
      <formula>NOT(ISERROR(SEARCH("Saturant",D6)))</formula>
    </cfRule>
  </conditionalFormatting>
  <conditionalFormatting sqref="D52:F75 D78:F86 D87:E87 D88:F92 D94:F111 D7:F50 D5:F5">
    <cfRule type="containsText" dxfId="35" priority="64" operator="containsText" text="Structurant">
      <formula>NOT(ISERROR(SEARCH("Structurant",D5)))</formula>
    </cfRule>
  </conditionalFormatting>
  <conditionalFormatting sqref="D77:F77">
    <cfRule type="containsText" dxfId="34" priority="7" operator="containsText" text="Structurant">
      <formula>NOT(ISERROR(SEARCH("Structurant",D77)))</formula>
    </cfRule>
    <cfRule type="containsText" dxfId="33" priority="8" operator="containsText" text="Saturant">
      <formula>NOT(ISERROR(SEARCH("Saturant",D77)))</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28" operator="equal" id="{48FDB580-7C7D-410F-819E-70303237808A}">
            <xm:f>Applicatifs!$H$24</xm:f>
            <x14:dxf>
              <fill>
                <patternFill>
                  <bgColor theme="9" tint="0.59996337778862885"/>
                </patternFill>
              </fill>
            </x14:dxf>
          </x14:cfRule>
          <x14:cfRule type="cellIs" priority="29" operator="equal" id="{96EC58E5-E865-4F48-9167-28899CD8FB97}">
            <xm:f>Applicatifs!$G$24</xm:f>
            <x14:dxf>
              <fill>
                <patternFill>
                  <bgColor rgb="FFFFD1D1"/>
                </patternFill>
              </fill>
            </x14:dxf>
          </x14:cfRule>
          <x14:cfRule type="colorScale" priority="30" id="{B3F1E023-1D91-4142-8846-305AA18A46CE}">
            <x14:colorScale>
              <x14:cfvo type="formula">
                <xm:f>Applicatifs!$H$24</xm:f>
              </x14:cfvo>
              <x14:cfvo type="formula">
                <xm:f>Applicatifs!$G$24</xm:f>
              </x14:cfvo>
              <x14:color theme="9"/>
              <x14:color rgb="FFFF0000"/>
            </x14:colorScale>
          </x14:cfRule>
          <xm:sqref>B4:B50 B52:B75 B77:B92 B94:B111</xm:sqref>
        </x14:conditionalFormatting>
        <x14:conditionalFormatting xmlns:xm="http://schemas.microsoft.com/office/excel/2006/main">
          <x14:cfRule type="expression" priority="40" id="{5FEE0E16-6EAA-4132-AA82-EE81E06FC741}">
            <xm:f>Applicatifs!$B$20="Non"</xm:f>
            <x14:dxf>
              <font>
                <strike/>
              </font>
              <fill>
                <patternFill>
                  <bgColor theme="2"/>
                </patternFill>
              </fill>
            </x14:dxf>
          </x14:cfRule>
          <xm:sqref>D4:D50 I4:I50</xm:sqref>
        </x14:conditionalFormatting>
        <x14:conditionalFormatting xmlns:xm="http://schemas.microsoft.com/office/excel/2006/main">
          <x14:cfRule type="expression" priority="59" id="{71734BB8-4014-4E04-8139-596BA9753419}">
            <xm:f>Applicatifs!$C$5="Non"</xm:f>
            <x14:dxf>
              <font>
                <strike/>
              </font>
              <fill>
                <patternFill>
                  <bgColor theme="2"/>
                </patternFill>
              </fill>
            </x14:dxf>
          </x14:cfRule>
          <xm:sqref>D12 G12:H12 G14:H17 D14:D48 G20:H20</xm:sqref>
        </x14:conditionalFormatting>
        <x14:conditionalFormatting xmlns:xm="http://schemas.microsoft.com/office/excel/2006/main">
          <x14:cfRule type="expression" priority="15" id="{306AE35A-52FB-4E52-9C85-E8844FA6E34A}">
            <xm:f>Applicatifs!$C$12="Non"</xm:f>
            <x14:dxf>
              <font>
                <strike/>
              </font>
              <fill>
                <patternFill>
                  <bgColor theme="2"/>
                </patternFill>
              </fill>
            </x14:dxf>
          </x14:cfRule>
          <xm:sqref>D12 G12:I12</xm:sqref>
        </x14:conditionalFormatting>
        <x14:conditionalFormatting xmlns:xm="http://schemas.microsoft.com/office/excel/2006/main">
          <x14:cfRule type="expression" priority="56" id="{AB6D560B-D672-4FF3-8EC5-579D140E08B0}">
            <xm:f>Applicatifs!$C$9="Non"</xm:f>
            <x14:dxf>
              <font>
                <strike/>
              </font>
              <fill>
                <patternFill>
                  <bgColor theme="2"/>
                </patternFill>
              </fill>
            </x14:dxf>
          </x14:cfRule>
          <xm:sqref>D30:D34 D40:D44</xm:sqref>
        </x14:conditionalFormatting>
        <x14:conditionalFormatting xmlns:xm="http://schemas.microsoft.com/office/excel/2006/main">
          <x14:cfRule type="expression" priority="53" id="{A4FB3CFF-3FD8-46A6-B254-8BFBE51FEAC2}">
            <xm:f>Applicatifs!$C$10="Non"</xm:f>
            <x14:dxf>
              <font>
                <strike/>
              </font>
              <fill>
                <patternFill>
                  <bgColor theme="2"/>
                </patternFill>
              </fill>
            </x14:dxf>
          </x14:cfRule>
          <xm:sqref>D37</xm:sqref>
        </x14:conditionalFormatting>
        <x14:conditionalFormatting xmlns:xm="http://schemas.microsoft.com/office/excel/2006/main">
          <x14:cfRule type="expression" priority="62" id="{95B6108D-8E8B-4C60-9A61-299140B50657}">
            <xm:f>Applicatifs!$B$21="Non"</xm:f>
            <x14:dxf>
              <font>
                <strike/>
              </font>
              <fill>
                <patternFill>
                  <bgColor theme="2"/>
                </patternFill>
              </fill>
            </x14:dxf>
          </x14:cfRule>
          <xm:sqref>D40:D44</xm:sqref>
        </x14:conditionalFormatting>
        <x14:conditionalFormatting xmlns:xm="http://schemas.microsoft.com/office/excel/2006/main">
          <x14:cfRule type="expression" priority="26" id="{C1D3BC31-C62F-40D7-BD23-6852F3794FAE}">
            <xm:f>Applicatifs!$C$9="Non"</xm:f>
            <x14:dxf>
              <font>
                <strike/>
              </font>
              <fill>
                <patternFill>
                  <bgColor theme="2"/>
                </patternFill>
              </fill>
            </x14:dxf>
          </x14:cfRule>
          <x14:cfRule type="expression" priority="27" id="{B5E62136-B646-4F5E-AB95-66411974DB55}">
            <xm:f>Applicatifs!$B$21="Non"</xm:f>
            <x14:dxf>
              <font>
                <strike/>
              </font>
              <fill>
                <patternFill>
                  <bgColor theme="2"/>
                </patternFill>
              </fill>
            </x14:dxf>
          </x14:cfRule>
          <xm:sqref>D46:D48</xm:sqref>
        </x14:conditionalFormatting>
        <x14:conditionalFormatting xmlns:xm="http://schemas.microsoft.com/office/excel/2006/main">
          <x14:cfRule type="expression" priority="50" id="{6D2320D4-4F8C-432C-A168-4A1CE846E9C4}">
            <xm:f>Applicatifs!$C$11="Non"</xm:f>
            <x14:dxf>
              <font>
                <strike/>
              </font>
              <fill>
                <patternFill>
                  <bgColor theme="2"/>
                </patternFill>
              </fill>
            </x14:dxf>
          </x14:cfRule>
          <xm:sqref>D48</xm:sqref>
        </x14:conditionalFormatting>
        <x14:conditionalFormatting xmlns:xm="http://schemas.microsoft.com/office/excel/2006/main">
          <x14:cfRule type="expression" priority="49" id="{8F9273A7-7563-411C-ABBE-31CDEAD8364D}">
            <xm:f>Applicatifs!$C$7="Non"</xm:f>
            <x14:dxf>
              <font>
                <strike/>
              </font>
              <fill>
                <patternFill>
                  <bgColor theme="2"/>
                </patternFill>
              </fill>
            </x14:dxf>
          </x14:cfRule>
          <xm:sqref>D50 D58</xm:sqref>
        </x14:conditionalFormatting>
        <x14:conditionalFormatting xmlns:xm="http://schemas.microsoft.com/office/excel/2006/main">
          <x14:cfRule type="expression" priority="60" id="{059714AA-2236-48D6-A32F-CC107271984D}">
            <xm:f>Applicatifs!$C$4="Non"</xm:f>
            <x14:dxf>
              <font>
                <strike/>
              </font>
              <fill>
                <patternFill>
                  <bgColor theme="2"/>
                </patternFill>
              </fill>
            </x14:dxf>
          </x14:cfRule>
          <xm:sqref>D88</xm:sqref>
        </x14:conditionalFormatting>
        <x14:conditionalFormatting xmlns:xm="http://schemas.microsoft.com/office/excel/2006/main">
          <x14:cfRule type="expression" priority="54" id="{2C1702AB-6451-46A7-9CA5-4B7477F0C4E5}">
            <xm:f>Applicatifs!$C$13="Non"</xm:f>
            <x14:dxf>
              <font>
                <strike/>
              </font>
              <fill>
                <patternFill>
                  <bgColor theme="2"/>
                </patternFill>
              </fill>
            </x14:dxf>
          </x14:cfRule>
          <xm:sqref>D98 G98:H98 D102 G102:H102</xm:sqref>
        </x14:conditionalFormatting>
        <x14:conditionalFormatting xmlns:xm="http://schemas.microsoft.com/office/excel/2006/main">
          <x14:cfRule type="expression" priority="48" id="{13390003-81E3-4A4B-9BAC-B758BBEAE569}">
            <xm:f>Applicatifs!$C$6="Non"</xm:f>
            <x14:dxf>
              <font>
                <strike/>
              </font>
              <fill>
                <patternFill>
                  <bgColor theme="2"/>
                </patternFill>
              </fill>
            </x14:dxf>
          </x14:cfRule>
          <xm:sqref>D4:H4 D6:H10 E7:F34 E5:F5 G21:H21 D21:D22 D35:F35 D36 E36:F50 E52:F75 E94:F111</xm:sqref>
        </x14:conditionalFormatting>
        <x14:conditionalFormatting xmlns:xm="http://schemas.microsoft.com/office/excel/2006/main">
          <x14:cfRule type="expression" priority="39" id="{7617E6BC-6608-4D92-B023-68A0057E033A}">
            <xm:f>Applicatifs!$C$6="Non"</xm:f>
            <x14:dxf>
              <font>
                <strike/>
              </font>
              <fill>
                <patternFill>
                  <bgColor theme="2"/>
                </patternFill>
              </fill>
            </x14:dxf>
          </x14:cfRule>
          <xm:sqref>E77:F92</xm:sqref>
        </x14:conditionalFormatting>
        <x14:conditionalFormatting xmlns:xm="http://schemas.microsoft.com/office/excel/2006/main">
          <x14:cfRule type="expression" priority="32" id="{2AE5124E-DC31-4603-B694-CA3C6B3B260D}">
            <xm:f>Applicatifs!$C$5="Non"</xm:f>
            <x14:dxf>
              <font>
                <strike/>
              </font>
              <fill>
                <patternFill>
                  <bgColor theme="2"/>
                </patternFill>
              </fill>
            </x14:dxf>
          </x14:cfRule>
          <xm:sqref>G11:G12 G5</xm:sqref>
        </x14:conditionalFormatting>
        <x14:conditionalFormatting xmlns:xm="http://schemas.microsoft.com/office/excel/2006/main">
          <x14:cfRule type="expression" priority="31" id="{E09187E9-4C0A-464C-B8EE-EBDB98730CB4}">
            <xm:f>Applicatifs!$C$12="Non"</xm:f>
            <x14:dxf>
              <font>
                <strike/>
              </font>
              <fill>
                <patternFill>
                  <bgColor theme="2"/>
                </patternFill>
              </fill>
            </x14:dxf>
          </x14:cfRule>
          <xm:sqref>G20:H20</xm:sqref>
        </x14:conditionalFormatting>
        <x14:conditionalFormatting xmlns:xm="http://schemas.microsoft.com/office/excel/2006/main">
          <x14:cfRule type="expression" priority="35" id="{13744BE0-3E1C-4D68-A31C-683043751ACD}">
            <xm:f>Applicatifs!$C$15="Non"</xm:f>
            <x14:dxf>
              <font>
                <strike/>
              </font>
              <fill>
                <patternFill>
                  <bgColor theme="2"/>
                </patternFill>
              </fill>
            </x14:dxf>
          </x14:cfRule>
          <xm:sqref>G23:H23</xm:sqref>
        </x14:conditionalFormatting>
        <x14:conditionalFormatting xmlns:xm="http://schemas.microsoft.com/office/excel/2006/main">
          <x14:cfRule type="expression" priority="34" id="{3622964D-B4E5-438A-A55A-C08F89F49C05}">
            <xm:f>Applicatifs!$C$13="Non"</xm:f>
            <x14:dxf>
              <font>
                <strike/>
              </font>
              <fill>
                <patternFill>
                  <bgColor theme="2"/>
                </patternFill>
              </fill>
            </x14:dxf>
          </x14:cfRule>
          <xm:sqref>G24:H24 G26:H26</xm:sqref>
        </x14:conditionalFormatting>
        <x14:conditionalFormatting xmlns:xm="http://schemas.microsoft.com/office/excel/2006/main">
          <x14:cfRule type="expression" priority="2" id="{506C9992-4006-4F0B-8FE1-A62C4C85E486}">
            <xm:f>Applicatifs!$C$15="Non"</xm:f>
            <x14:dxf>
              <font>
                <strike/>
              </font>
              <fill>
                <patternFill>
                  <bgColor theme="2"/>
                </patternFill>
              </fill>
            </x14:dxf>
          </x14:cfRule>
          <xm:sqref>G25:H25</xm:sqref>
        </x14:conditionalFormatting>
        <x14:conditionalFormatting xmlns:xm="http://schemas.microsoft.com/office/excel/2006/main">
          <x14:cfRule type="expression" priority="33" id="{44CC8669-5BFB-46D3-B47C-516B272983B2}">
            <xm:f>Applicatifs!$C$4="Non"</xm:f>
            <x14:dxf>
              <font>
                <strike/>
              </font>
              <fill>
                <patternFill>
                  <bgColor theme="2"/>
                </patternFill>
              </fill>
            </x14:dxf>
          </x14:cfRule>
          <xm:sqref>G30:H30</xm:sqref>
        </x14:conditionalFormatting>
        <x14:conditionalFormatting xmlns:xm="http://schemas.microsoft.com/office/excel/2006/main">
          <x14:cfRule type="expression" priority="61" id="{B84294D7-0E1B-482D-B407-029FB26DFDC4}">
            <xm:f>Applicatifs!$C$8="Non"</xm:f>
            <x14:dxf>
              <font>
                <strike/>
              </font>
              <fill>
                <patternFill>
                  <bgColor theme="2"/>
                </patternFill>
              </fill>
            </x14:dxf>
          </x14:cfRule>
          <xm:sqref>G97:H97 D97:D98</xm:sqref>
        </x14:conditionalFormatting>
        <x14:conditionalFormatting xmlns:xm="http://schemas.microsoft.com/office/excel/2006/main">
          <x14:cfRule type="expression" priority="63" id="{505F7679-4237-4F0C-9DD1-B133F1D27C13}">
            <xm:f>Applicatifs!$B$20="Non"</xm:f>
            <x14:dxf>
              <font>
                <strike/>
              </font>
              <fill>
                <patternFill>
                  <bgColor theme="2"/>
                </patternFill>
              </fill>
            </x14:dxf>
          </x14:cfRule>
          <xm:sqref>G12:I12 D77:D92 D52:D75 I52:I75 I77:I92 D94:D111 I94:I111</xm:sqref>
        </x14:conditionalFormatting>
        <x14:conditionalFormatting xmlns:xm="http://schemas.microsoft.com/office/excel/2006/main">
          <x14:cfRule type="expression" priority="3" id="{F734C89F-3919-4D1F-83D2-F8CBB912F556}">
            <xm:f>Applicatifs!$C$15="Non"</xm:f>
            <x14:dxf>
              <font>
                <strike/>
              </font>
              <fill>
                <patternFill>
                  <bgColor theme="2"/>
                </patternFill>
              </fill>
            </x14:dxf>
          </x14:cfRule>
          <xm:sqref>J23</xm:sqref>
        </x14:conditionalFormatting>
        <x14:conditionalFormatting xmlns:xm="http://schemas.microsoft.com/office/excel/2006/main">
          <x14:cfRule type="expression" priority="1" id="{6925BA00-4F90-4ECA-9AC4-0D3FE45508DC}">
            <xm:f>Applicatifs!$C$15="Non"</xm:f>
            <x14:dxf>
              <font>
                <strike/>
              </font>
              <fill>
                <patternFill>
                  <bgColor theme="2"/>
                </patternFill>
              </fill>
            </x14:dxf>
          </x14:cfRule>
          <xm:sqref>J25</xm:sqref>
        </x14:conditionalFormatting>
      </x14:conditionalFormattings>
    </ext>
    <ext xmlns:x14="http://schemas.microsoft.com/office/spreadsheetml/2009/9/main" uri="{CCE6A557-97BC-4b89-ADB6-D9C93CAAB3DF}">
      <x14:dataValidations xmlns:xm="http://schemas.microsoft.com/office/excel/2006/main" count="8">
        <x14:dataValidation type="list" allowBlank="1" showInputMessage="1" showErrorMessage="1" xr:uid="{DD206858-FE9A-43D9-A260-B80CD53541BA}">
          <x14:formula1>
            <xm:f>Applicatifs!$G$3:$G$4</xm:f>
          </x14:formula1>
          <xm:sqref>D4:D50 D52:D75 D94:D111 D77:D92</xm:sqref>
        </x14:dataValidation>
        <x14:dataValidation type="list" allowBlank="1" showInputMessage="1" showErrorMessage="1" xr:uid="{816E9E5B-2F4E-43AD-9A6A-D132A2E9EF38}">
          <x14:formula1>
            <xm:f>Applicatifs!$F$3:$F$6</xm:f>
          </x14:formula1>
          <xm:sqref>I4:I50 I52:I75 I94:I111 I77:I92</xm:sqref>
        </x14:dataValidation>
        <x14:dataValidation type="list" allowBlank="1" showErrorMessage="1" xr:uid="{1C5B753F-BCED-4A3A-BA73-3C6473AB29B5}">
          <x14:formula1>
            <xm:f>Applicatifs!$G$24:$H$24</xm:f>
          </x14:formula1>
          <xm:sqref>B52:B75 B4:B50 B77:B92 B94:B111</xm:sqref>
        </x14:dataValidation>
        <x14:dataValidation type="list" allowBlank="1" showInputMessage="1" showErrorMessage="1" xr:uid="{09BD3DEF-50CE-4BB7-A157-7677CF6F6251}">
          <x14:formula1>
            <xm:f>Applicatifs!$I$3:$I$299</xm:f>
          </x14:formula1>
          <xm:sqref>E110 E50 E4:E48</xm:sqref>
        </x14:dataValidation>
        <x14:dataValidation type="list" allowBlank="1" showInputMessage="1" showErrorMessage="1" xr:uid="{86E3D799-C9D9-4F5D-96C6-7D5C89F53E46}">
          <x14:formula1>
            <xm:f>Applicatifs!$I$3:$I$41</xm:f>
          </x14:formula1>
          <xm:sqref>E50 E82:E92</xm:sqref>
        </x14:dataValidation>
        <x14:dataValidation type="list" allowBlank="1" showInputMessage="1" showErrorMessage="1" xr:uid="{FCF3E967-BC8C-4712-849A-E58296A9709D}">
          <x14:formula1>
            <xm:f>Applicatifs!$I$3:$I$72</xm:f>
          </x14:formula1>
          <xm:sqref>E77:E81 E52:E75</xm:sqref>
        </x14:dataValidation>
        <x14:dataValidation type="list" allowBlank="1" showInputMessage="1" showErrorMessage="1" xr:uid="{FAA3D93F-1819-43CE-A7A3-B4255A6BD67B}">
          <x14:formula1>
            <xm:f>Applicatifs!$H$3:$H$14</xm:f>
          </x14:formula1>
          <xm:sqref>F4:F50 F52:F75 F94:F111 F77:F92</xm:sqref>
        </x14:dataValidation>
        <x14:dataValidation type="list" allowBlank="1" showInputMessage="1" showErrorMessage="1" xr:uid="{96A32668-9C65-48E1-9F6F-2A414D73D3B7}">
          <x14:formula1>
            <xm:f>Applicatifs!$I$3:$I$105</xm:f>
          </x14:formula1>
          <xm:sqref>E49 E94:E111 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1"/>
  <sheetViews>
    <sheetView showGridLines="0" topLeftCell="A88" workbookViewId="0">
      <selection activeCell="G95" sqref="G95:H95"/>
    </sheetView>
  </sheetViews>
  <sheetFormatPr baseColWidth="10" defaultColWidth="9.109375" defaultRowHeight="14.4" x14ac:dyDescent="0.3"/>
  <cols>
    <col min="2" max="2" width="8.6640625" bestFit="1" customWidth="1"/>
    <col min="3" max="3" width="10.6640625" customWidth="1"/>
    <col min="4" max="4" width="23.33203125" bestFit="1" customWidth="1"/>
    <col min="5" max="6" width="23.33203125" customWidth="1"/>
    <col min="7" max="7" width="43.33203125" customWidth="1"/>
    <col min="8" max="8" width="80.6640625" customWidth="1"/>
    <col min="9" max="9" width="30.6640625" customWidth="1"/>
    <col min="10" max="10" width="15.6640625" customWidth="1"/>
  </cols>
  <sheetData>
    <row r="1" spans="1:10" ht="80.099999999999994" customHeight="1" x14ac:dyDescent="0.3">
      <c r="B1" s="64"/>
      <c r="C1" s="64"/>
      <c r="D1" s="64"/>
      <c r="E1" s="64"/>
      <c r="F1" s="64"/>
      <c r="G1" s="64"/>
      <c r="H1" s="64"/>
      <c r="I1" s="64"/>
      <c r="J1" s="64"/>
    </row>
    <row r="2" spans="1:10" ht="32.4" customHeight="1" x14ac:dyDescent="0.3">
      <c r="A2" s="6" t="s">
        <v>0</v>
      </c>
      <c r="B2" s="6" t="s">
        <v>1</v>
      </c>
      <c r="C2" s="6" t="s">
        <v>339</v>
      </c>
      <c r="D2" s="6" t="s">
        <v>2</v>
      </c>
      <c r="E2" s="6" t="s">
        <v>3</v>
      </c>
      <c r="F2" s="6" t="s">
        <v>4</v>
      </c>
      <c r="G2" s="6" t="s">
        <v>5</v>
      </c>
      <c r="H2" s="6" t="s">
        <v>6</v>
      </c>
      <c r="I2" s="6" t="s">
        <v>3</v>
      </c>
      <c r="J2" s="6" t="s">
        <v>7</v>
      </c>
    </row>
    <row r="3" spans="1:10" ht="18" x14ac:dyDescent="0.3">
      <c r="A3" s="67" t="s">
        <v>340</v>
      </c>
      <c r="B3" s="67"/>
      <c r="C3" s="67"/>
      <c r="D3" s="67"/>
      <c r="E3" s="67"/>
      <c r="F3" s="67"/>
      <c r="G3" s="67"/>
      <c r="H3" s="67"/>
      <c r="I3" s="67"/>
      <c r="J3" s="67"/>
    </row>
    <row r="4" spans="1:10" ht="31.2" x14ac:dyDescent="0.3">
      <c r="A4" s="16"/>
      <c r="B4" s="17">
        <v>2</v>
      </c>
      <c r="C4" s="18"/>
      <c r="D4" s="17" t="s">
        <v>11</v>
      </c>
      <c r="E4" s="17"/>
      <c r="F4" s="17"/>
      <c r="G4" s="17" t="s">
        <v>341</v>
      </c>
      <c r="H4" s="17" t="s">
        <v>342</v>
      </c>
      <c r="I4" s="17" t="s">
        <v>343</v>
      </c>
      <c r="J4" s="17" t="s">
        <v>14</v>
      </c>
    </row>
    <row r="5" spans="1:10" ht="62.4" x14ac:dyDescent="0.3">
      <c r="A5" s="16"/>
      <c r="B5" s="19">
        <v>3</v>
      </c>
      <c r="C5" s="20"/>
      <c r="D5" s="19" t="s">
        <v>11</v>
      </c>
      <c r="E5" s="19"/>
      <c r="F5" s="17"/>
      <c r="G5" s="19" t="s">
        <v>344</v>
      </c>
      <c r="H5" s="19" t="s">
        <v>345</v>
      </c>
      <c r="I5" s="19" t="s">
        <v>346</v>
      </c>
      <c r="J5" s="19" t="s">
        <v>320</v>
      </c>
    </row>
    <row r="6" spans="1:10" ht="46.8" x14ac:dyDescent="0.3">
      <c r="A6" s="16"/>
      <c r="B6" s="19">
        <v>4</v>
      </c>
      <c r="C6" s="20"/>
      <c r="D6" s="19" t="s">
        <v>11</v>
      </c>
      <c r="E6" s="19"/>
      <c r="F6" s="17"/>
      <c r="G6" s="19" t="str">
        <f>"Dysfonctionnement "&amp;Applicatifs!$B$5&amp;" (Urgences)"</f>
        <v>Dysfonctionnement Pastel (Urgences)</v>
      </c>
      <c r="H6" s="19" t="str">
        <f>"Bonjour, on constate sur le site un gros dysfonctionnement de "&amp;Applicatifs!$B$5&amp;" au niveau de l'accueil des urgences. Le logiciel tourne au ralenti et il y a beaucoup de personnes qui arrivent depuis ce matin, il y a de plus en plus d'attente…"</f>
        <v>Bonjour, on constate sur le site un gros dysfonctionnement de Pastel au niveau de l'accueil des urgences. Le logiciel tourne au ralenti et il y a beaucoup de personnes qui arrivent depuis ce matin, il y a de plus en plus d'attente…</v>
      </c>
      <c r="I6" s="19" t="s">
        <v>347</v>
      </c>
      <c r="J6" s="19" t="s">
        <v>14</v>
      </c>
    </row>
    <row r="7" spans="1:10" ht="46.8" x14ac:dyDescent="0.3">
      <c r="A7" s="16"/>
      <c r="B7" s="19">
        <v>5</v>
      </c>
      <c r="C7" s="20"/>
      <c r="D7" s="19" t="s">
        <v>11</v>
      </c>
      <c r="E7" s="19"/>
      <c r="F7" s="17"/>
      <c r="G7" s="19" t="str">
        <f>"Dysfonctionnement "&amp;Applicatifs!$B$5&amp;" (Urgences)"</f>
        <v>Dysfonctionnement Pastel (Urgences)</v>
      </c>
      <c r="H7" s="19" t="str">
        <f>"Bonjour, j'ai été contacté par X qui m'a dit qu'une fois de plus il y a de gros ralentissements sur "&amp;Applicatifs!$B$5&amp;" à l'accueil des urgences. X me demande ce qu'ils doivent faire. Merci."</f>
        <v>Bonjour, j'ai été contacté par X qui m'a dit qu'une fois de plus il y a de gros ralentissements sur Pastel à l'accueil des urgences. X me demande ce qu'ils doivent faire. Merci.</v>
      </c>
      <c r="I7" s="19" t="s">
        <v>348</v>
      </c>
      <c r="J7" s="19" t="s">
        <v>14</v>
      </c>
    </row>
    <row r="8" spans="1:10" ht="62.4" x14ac:dyDescent="0.3">
      <c r="A8" s="16"/>
      <c r="B8" s="19">
        <v>6</v>
      </c>
      <c r="C8" s="20"/>
      <c r="D8" s="19" t="s">
        <v>11</v>
      </c>
      <c r="E8" s="19"/>
      <c r="F8" s="17"/>
      <c r="G8" s="19" t="str">
        <f>"Dysfonctionnement "&amp;Applicatifs!$B$5&amp;" (Urgences)"</f>
        <v>Dysfonctionnement Pastel (Urgences)</v>
      </c>
      <c r="H8" s="19" t="str">
        <f>"Bonjour, je vous contacte car l'accueil des urgences commence à être saturé. On a des dysfonctionnements sur les postes informatiques, notamment des gros ralentissements de "&amp;Applicatifs!$B$5&amp;". Cela prend 3x plus de temps de créer les dossiers patients…"</f>
        <v>Bonjour, je vous contacte car l'accueil des urgences commence à être saturé. On a des dysfonctionnements sur les postes informatiques, notamment des gros ralentissements de Pastel. Cela prend 3x plus de temps de créer les dossiers patients…</v>
      </c>
      <c r="I8" s="19" t="s">
        <v>347</v>
      </c>
      <c r="J8" s="19" t="s">
        <v>14</v>
      </c>
    </row>
    <row r="9" spans="1:10" ht="46.8" x14ac:dyDescent="0.3">
      <c r="A9" s="9"/>
      <c r="B9" s="19">
        <v>7</v>
      </c>
      <c r="C9" s="20"/>
      <c r="D9" s="19" t="s">
        <v>11</v>
      </c>
      <c r="E9" s="19"/>
      <c r="F9" s="17"/>
      <c r="G9" s="19" t="str">
        <f>"Dysfonctionnement "&amp;Applicatifs!$B$5&amp;" (Urgences)"</f>
        <v>Dysfonctionnement Pastel (Urgences)</v>
      </c>
      <c r="H9" s="19" t="str">
        <f>"Bonjour, je suis cadre aux urgences. L'accueil des urgences nous ont dit qu'ils ont un problème informatique sur "&amp;Applicatifs!$B$5&amp;". Ça commence à être saturé et on a du mal à travailler. Vous savez quand le problème sera résolu ?"</f>
        <v>Bonjour, je suis cadre aux urgences. L'accueil des urgences nous ont dit qu'ils ont un problème informatique sur Pastel. Ça commence à être saturé et on a du mal à travailler. Vous savez quand le problème sera résolu ?</v>
      </c>
      <c r="I9" s="19" t="s">
        <v>349</v>
      </c>
      <c r="J9" s="19" t="s">
        <v>14</v>
      </c>
    </row>
    <row r="10" spans="1:10" ht="46.8" x14ac:dyDescent="0.3">
      <c r="A10" s="9"/>
      <c r="B10" s="19">
        <v>8</v>
      </c>
      <c r="C10" s="20"/>
      <c r="D10" s="19" t="s">
        <v>11</v>
      </c>
      <c r="E10" s="19"/>
      <c r="F10" s="17"/>
      <c r="G10" s="19" t="str">
        <f>"Panne "&amp;Applicatifs!$B$6&amp;" (Laboratoire)"</f>
        <v>Panne INLOG (Laboratoire)</v>
      </c>
      <c r="H10" s="19" t="str">
        <f>"Bonjour, il semblerait qu'il y ait une panne au niveau du laboratoire de biologie. "&amp;Applicatifs!$B$6&amp;" est en panne. On doit se déplacer pour avoir les résultats, c'est très long et on a beaucoup de mal à tenir le rythme."</f>
        <v>Bonjour, il semblerait qu'il y ait une panne au niveau du laboratoire de biologie. INLOG est en panne. On doit se déplacer pour avoir les résultats, c'est très long et on a beaucoup de mal à tenir le rythme.</v>
      </c>
      <c r="I10" s="19" t="s">
        <v>350</v>
      </c>
      <c r="J10" s="19" t="s">
        <v>14</v>
      </c>
    </row>
    <row r="11" spans="1:10" ht="62.4" x14ac:dyDescent="0.3">
      <c r="A11" s="9"/>
      <c r="B11" s="19">
        <v>9</v>
      </c>
      <c r="C11" s="20"/>
      <c r="D11" s="19" t="s">
        <v>11</v>
      </c>
      <c r="E11" s="19"/>
      <c r="F11" s="17"/>
      <c r="G11" s="19" t="s">
        <v>94</v>
      </c>
      <c r="H11" s="19" t="s">
        <v>95</v>
      </c>
      <c r="I11" s="19" t="s">
        <v>347</v>
      </c>
      <c r="J11" s="19" t="s">
        <v>14</v>
      </c>
    </row>
    <row r="12" spans="1:10" ht="93.6" x14ac:dyDescent="0.3">
      <c r="A12" s="9"/>
      <c r="B12" s="19">
        <v>10</v>
      </c>
      <c r="C12" s="20"/>
      <c r="D12" s="19" t="s">
        <v>11</v>
      </c>
      <c r="E12" s="19"/>
      <c r="F12" s="17"/>
      <c r="G12" s="19" t="s">
        <v>351</v>
      </c>
      <c r="H12" s="19" t="s">
        <v>352</v>
      </c>
      <c r="I12" s="19" t="s">
        <v>353</v>
      </c>
      <c r="J12" s="19" t="s">
        <v>14</v>
      </c>
    </row>
    <row r="13" spans="1:10" ht="93.6" x14ac:dyDescent="0.3">
      <c r="A13" s="9"/>
      <c r="B13" s="19">
        <v>11</v>
      </c>
      <c r="C13" s="20"/>
      <c r="D13" s="19" t="s">
        <v>11</v>
      </c>
      <c r="E13" s="19"/>
      <c r="F13" s="17"/>
      <c r="G13" s="19" t="s">
        <v>354</v>
      </c>
      <c r="H13" s="19" t="s">
        <v>355</v>
      </c>
      <c r="I13" s="19" t="s">
        <v>356</v>
      </c>
      <c r="J13" s="19" t="s">
        <v>14</v>
      </c>
    </row>
    <row r="14" spans="1:10" ht="46.8" x14ac:dyDescent="0.3">
      <c r="A14" s="9"/>
      <c r="B14" s="19">
        <v>13</v>
      </c>
      <c r="C14" s="20"/>
      <c r="D14" s="19" t="s">
        <v>11</v>
      </c>
      <c r="E14" s="19"/>
      <c r="F14" s="17"/>
      <c r="G14" s="19" t="str">
        <f>"Problème "&amp;Applicatifs!$B$9&amp;" (Gestion des repas)"</f>
        <v>Problème Logiciel de gestion des repas (Gestion des repas)</v>
      </c>
      <c r="H14" s="19" t="str">
        <f>"Bonjour, il semblerait qu'il y ait un gros problème avec "&amp;Applicatifs!$B$9&amp;" ici, on n'arrive pas à se connecter et on ne peut pas servir les repas. Vous savez ce qu'il se passe ? Ça sera réparé dans combien de temps ?"</f>
        <v>Bonjour, il semblerait qu'il y ait un gros problème avec Logiciel de gestion des repas ici, on n'arrive pas à se connecter et on ne peut pas servir les repas. Vous savez ce qu'il se passe ? Ça sera réparé dans combien de temps ?</v>
      </c>
      <c r="I14" s="19" t="s">
        <v>357</v>
      </c>
      <c r="J14" s="19" t="s">
        <v>14</v>
      </c>
    </row>
    <row r="15" spans="1:10" ht="62.4" x14ac:dyDescent="0.3">
      <c r="A15" s="9"/>
      <c r="B15" s="19">
        <v>14</v>
      </c>
      <c r="C15" s="20"/>
      <c r="D15" s="19" t="s">
        <v>11</v>
      </c>
      <c r="E15" s="19"/>
      <c r="F15" s="17"/>
      <c r="G15" s="19" t="str">
        <f>"Problème "&amp;Applicatifs!$B$9&amp;" (Gestion des repas)"</f>
        <v>Problème Logiciel de gestion des repas (Gestion des repas)</v>
      </c>
      <c r="H15" s="19" t="str">
        <f>"Bonjour, cela fait plus de 2h que nous attendons les repas, on vient d'enchaîner 4 accouchements en parallèle, comment vous dire que là ce n'est pas possible de continuer à travailler comme ça. Vous êtes sûrs qu'il n'y a pas un problème avec "&amp;Applicatifs!$B$9&amp;" ?"</f>
        <v>Bonjour, cela fait plus de 2h que nous attendons les repas, on vient d'enchaîner 4 accouchements en parallèle, comment vous dire que là ce n'est pas possible de continuer à travailler comme ça. Vous êtes sûrs qu'il n'y a pas un problème avec Logiciel de gestion des repas ?</v>
      </c>
      <c r="I15" s="19" t="s">
        <v>358</v>
      </c>
      <c r="J15" s="19" t="s">
        <v>14</v>
      </c>
    </row>
    <row r="16" spans="1:10" ht="31.2" x14ac:dyDescent="0.3">
      <c r="A16" s="9"/>
      <c r="B16" s="19">
        <v>15</v>
      </c>
      <c r="C16" s="20"/>
      <c r="D16" s="19" t="s">
        <v>11</v>
      </c>
      <c r="E16" s="19"/>
      <c r="F16" s="17"/>
      <c r="G16" s="19" t="str">
        <f>"Problème "&amp;Applicatifs!$B$9&amp;" (Gestion des repas)"</f>
        <v>Problème Logiciel de gestion des repas (Gestion des repas)</v>
      </c>
      <c r="H16" s="19" t="s">
        <v>359</v>
      </c>
      <c r="I16" s="19" t="s">
        <v>360</v>
      </c>
      <c r="J16" s="19" t="s">
        <v>14</v>
      </c>
    </row>
    <row r="17" spans="1:10" ht="31.2" x14ac:dyDescent="0.3">
      <c r="A17" s="9"/>
      <c r="B17" s="19">
        <v>16</v>
      </c>
      <c r="C17" s="20"/>
      <c r="D17" s="19" t="s">
        <v>11</v>
      </c>
      <c r="E17" s="19"/>
      <c r="F17" s="17"/>
      <c r="G17" s="19" t="str">
        <f>"Problème "&amp;Applicatifs!$B$9&amp;" (Gestion des repas)"</f>
        <v>Problème Logiciel de gestion des repas (Gestion des repas)</v>
      </c>
      <c r="H17" s="19" t="str">
        <f>"Nous n'arrivons pas à accéder à "&amp;Applicatifs!$B$9&amp;", que faisons nous ? On doit servir les petits déjeuners !"</f>
        <v>Nous n'arrivons pas à accéder à Logiciel de gestion des repas, que faisons nous ? On doit servir les petits déjeuners !</v>
      </c>
      <c r="I17" s="19" t="s">
        <v>361</v>
      </c>
      <c r="J17" s="19" t="s">
        <v>14</v>
      </c>
    </row>
    <row r="18" spans="1:10" ht="31.2" x14ac:dyDescent="0.3">
      <c r="A18" s="9"/>
      <c r="B18" s="19">
        <v>17</v>
      </c>
      <c r="C18" s="20"/>
      <c r="D18" s="19" t="s">
        <v>11</v>
      </c>
      <c r="E18" s="19"/>
      <c r="F18" s="17"/>
      <c r="G18" s="19" t="str">
        <f>"Panne "&amp;Applicatifs!$B$6&amp;" (Laboratoire)"</f>
        <v>Panne INLOG (Laboratoire)</v>
      </c>
      <c r="H18" s="19" t="str">
        <f>"Avez-vous du nouveau concernant les problèmes avec "&amp;Applicatifs!$B$6&amp;" ? C'est très problématique, avez-vous des infos svp ? Quand est-ce que ça sera réglé ?"</f>
        <v>Avez-vous du nouveau concernant les problèmes avec INLOG ? C'est très problématique, avez-vous des infos svp ? Quand est-ce que ça sera réglé ?</v>
      </c>
      <c r="I18" s="19" t="s">
        <v>350</v>
      </c>
      <c r="J18" s="19" t="s">
        <v>14</v>
      </c>
    </row>
    <row r="19" spans="1:10" ht="15.6" x14ac:dyDescent="0.3">
      <c r="A19" s="9"/>
      <c r="B19" s="19">
        <v>18</v>
      </c>
      <c r="C19" s="20"/>
      <c r="D19" s="19" t="s">
        <v>11</v>
      </c>
      <c r="E19" s="19"/>
      <c r="F19" s="17"/>
      <c r="G19" s="19" t="str">
        <f>"Dysfonctionnement "&amp;Applicatifs!$B$10&amp;" (Prescription)"</f>
        <v>Dysfonctionnement Logipren (Prescription)</v>
      </c>
      <c r="H19" s="19" t="s">
        <v>362</v>
      </c>
      <c r="I19" s="19" t="s">
        <v>363</v>
      </c>
      <c r="J19" s="19" t="s">
        <v>14</v>
      </c>
    </row>
    <row r="20" spans="1:10" ht="62.4" x14ac:dyDescent="0.3">
      <c r="A20" s="9"/>
      <c r="B20" s="19">
        <v>19</v>
      </c>
      <c r="C20" s="20"/>
      <c r="D20" s="19" t="s">
        <v>11</v>
      </c>
      <c r="E20" s="19"/>
      <c r="F20" s="17"/>
      <c r="G20" s="19" t="s">
        <v>364</v>
      </c>
      <c r="H20" s="19" t="str">
        <f>"Bonjour, j'aimerais bien joindre le DSI pour lui faire un rapport sur les différentes informations que l'on m'a remonté : Dysfonctionnements de "&amp;Applicatifs!$B$5&amp;" à l'accueil des urgences, "&amp;Applicatifs!$B$6&amp;" hors service au laboratoire, "&amp;Applicatifs!$B$9&amp;" qui ne fonctionne plus…"</f>
        <v>Bonjour, j'aimerais bien joindre le DSI pour lui faire un rapport sur les différentes informations que l'on m'a remonté : Dysfonctionnements de Pastel à l'accueil des urgences, INLOG hors service au laboratoire, Logiciel de gestion des repas qui ne fonctionne plus…</v>
      </c>
      <c r="I20" s="19" t="s">
        <v>365</v>
      </c>
      <c r="J20" s="19" t="s">
        <v>14</v>
      </c>
    </row>
    <row r="21" spans="1:10" ht="46.8" x14ac:dyDescent="0.3">
      <c r="A21" s="9"/>
      <c r="B21" s="19">
        <v>20</v>
      </c>
      <c r="C21" s="20"/>
      <c r="D21" s="19" t="s">
        <v>11</v>
      </c>
      <c r="E21" s="19"/>
      <c r="F21" s="17"/>
      <c r="G21" s="19" t="s">
        <v>366</v>
      </c>
      <c r="H21" s="19" t="s">
        <v>367</v>
      </c>
      <c r="I21" s="19" t="s">
        <v>368</v>
      </c>
      <c r="J21" s="19" t="s">
        <v>14</v>
      </c>
    </row>
    <row r="22" spans="1:10" ht="62.4" x14ac:dyDescent="0.3">
      <c r="A22" s="9"/>
      <c r="B22" s="19">
        <v>21</v>
      </c>
      <c r="C22" s="20"/>
      <c r="D22" s="19" t="s">
        <v>11</v>
      </c>
      <c r="E22" s="19"/>
      <c r="F22" s="17"/>
      <c r="G22" s="19" t="s">
        <v>369</v>
      </c>
      <c r="H22" s="19" t="s">
        <v>370</v>
      </c>
      <c r="I22" s="19" t="s">
        <v>28</v>
      </c>
      <c r="J22" s="19" t="s">
        <v>14</v>
      </c>
    </row>
    <row r="23" spans="1:10" ht="31.2" x14ac:dyDescent="0.3">
      <c r="A23" s="9"/>
      <c r="B23" s="19">
        <v>22</v>
      </c>
      <c r="C23" s="20"/>
      <c r="D23" s="19" t="s">
        <v>11</v>
      </c>
      <c r="E23" s="19"/>
      <c r="F23" s="17"/>
      <c r="G23" s="19" t="s">
        <v>371</v>
      </c>
      <c r="H23" s="19" t="s">
        <v>372</v>
      </c>
      <c r="I23" s="19" t="s">
        <v>360</v>
      </c>
      <c r="J23" s="19" t="s">
        <v>14</v>
      </c>
    </row>
    <row r="24" spans="1:10" ht="62.4" x14ac:dyDescent="0.3">
      <c r="A24" s="9"/>
      <c r="B24" s="19">
        <v>23</v>
      </c>
      <c r="C24" s="20"/>
      <c r="D24" s="19" t="s">
        <v>11</v>
      </c>
      <c r="E24" s="19"/>
      <c r="F24" s="17"/>
      <c r="G24" s="19" t="s">
        <v>373</v>
      </c>
      <c r="H24" s="19" t="s">
        <v>374</v>
      </c>
      <c r="I24" s="19" t="s">
        <v>28</v>
      </c>
      <c r="J24" s="19" t="s">
        <v>14</v>
      </c>
    </row>
    <row r="25" spans="1:10" ht="46.8" x14ac:dyDescent="0.3">
      <c r="A25" s="9"/>
      <c r="B25" s="19">
        <v>24</v>
      </c>
      <c r="C25" s="20"/>
      <c r="D25" s="19" t="s">
        <v>11</v>
      </c>
      <c r="E25" s="19"/>
      <c r="F25" s="17"/>
      <c r="G25" s="19" t="s">
        <v>375</v>
      </c>
      <c r="H25" s="19" t="s">
        <v>376</v>
      </c>
      <c r="I25" s="19" t="s">
        <v>28</v>
      </c>
      <c r="J25" s="19" t="s">
        <v>14</v>
      </c>
    </row>
    <row r="26" spans="1:10" ht="46.8" x14ac:dyDescent="0.3">
      <c r="A26" s="9"/>
      <c r="B26" s="19">
        <v>25</v>
      </c>
      <c r="C26" s="20"/>
      <c r="D26" s="19" t="s">
        <v>11</v>
      </c>
      <c r="E26" s="19"/>
      <c r="F26" s="17"/>
      <c r="G26" s="19" t="s">
        <v>377</v>
      </c>
      <c r="H26" s="19" t="s">
        <v>378</v>
      </c>
      <c r="I26" s="19" t="s">
        <v>379</v>
      </c>
      <c r="J26" s="19" t="s">
        <v>14</v>
      </c>
    </row>
    <row r="27" spans="1:10" ht="46.8" x14ac:dyDescent="0.3">
      <c r="A27" s="9"/>
      <c r="B27" s="19">
        <v>26</v>
      </c>
      <c r="C27" s="20"/>
      <c r="D27" s="19" t="s">
        <v>11</v>
      </c>
      <c r="E27" s="19"/>
      <c r="F27" s="17"/>
      <c r="G27" s="19" t="str">
        <f>"Panne "&amp;Applicatifs!$B$11&amp;" (Transport des patients)"</f>
        <v>Panne Logiciel de transport des patients (Transport des patients)</v>
      </c>
      <c r="H27" s="19" t="str">
        <f>"Bonjour, je n'arrive plus à commander un transport via "&amp;Applicatifs!$B$11&amp;". J'ai des patients qui doivent passer des scanners d'urgence ce matin, quelle est la procédure ? J'appelle directement le responsable des brancardiers ?"</f>
        <v>Bonjour, je n'arrive plus à commander un transport via Logiciel de transport des patients. J'ai des patients qui doivent passer des scanners d'urgence ce matin, quelle est la procédure ? J'appelle directement le responsable des brancardiers ?</v>
      </c>
      <c r="I27" s="19" t="s">
        <v>350</v>
      </c>
      <c r="J27" s="19" t="s">
        <v>14</v>
      </c>
    </row>
    <row r="28" spans="1:10" ht="46.8" x14ac:dyDescent="0.3">
      <c r="A28" s="9"/>
      <c r="B28" s="19">
        <v>27</v>
      </c>
      <c r="C28" s="20"/>
      <c r="D28" s="19" t="s">
        <v>11</v>
      </c>
      <c r="E28" s="19"/>
      <c r="F28" s="17"/>
      <c r="G28" s="19" t="s">
        <v>380</v>
      </c>
      <c r="H28" s="19" t="s">
        <v>381</v>
      </c>
      <c r="I28" s="19" t="s">
        <v>347</v>
      </c>
      <c r="J28" s="19" t="s">
        <v>14</v>
      </c>
    </row>
    <row r="29" spans="1:10" ht="62.4" x14ac:dyDescent="0.3">
      <c r="A29" s="9"/>
      <c r="B29" s="19">
        <v>28</v>
      </c>
      <c r="C29" s="20"/>
      <c r="D29" s="19" t="s">
        <v>11</v>
      </c>
      <c r="E29" s="19"/>
      <c r="F29" s="17"/>
      <c r="G29" s="19" t="s">
        <v>382</v>
      </c>
      <c r="H29" s="19" t="s">
        <v>383</v>
      </c>
      <c r="I29" s="19" t="s">
        <v>384</v>
      </c>
      <c r="J29" s="19" t="s">
        <v>14</v>
      </c>
    </row>
    <row r="30" spans="1:10" ht="62.4" x14ac:dyDescent="0.3">
      <c r="A30" s="9"/>
      <c r="B30" s="19">
        <v>29</v>
      </c>
      <c r="C30" s="20"/>
      <c r="D30" s="19" t="s">
        <v>11</v>
      </c>
      <c r="E30" s="19"/>
      <c r="F30" s="17"/>
      <c r="G30" s="19" t="str">
        <f>"Bug de "&amp;Applicatifs!$B$12&amp;" (Gestion des plannings)"</f>
        <v>Bug de Logiciel de gestion des plannings (Gestion des plannings)</v>
      </c>
      <c r="H30" s="19" t="str">
        <f>"Bonjour, c'est X qui vous contacte, on m'a informé qu'en plus de "&amp;Applicatifs!$B$5&amp;" il y a un bug sur "&amp;Applicatifs!$B$12&amp;". On n'a plus aucune visibilité sur les plannings, il y a une page blanche qui s'affiche sans aucun contenu, 
est-ce que c'est normal ?"</f>
        <v>Bonjour, c'est X qui vous contacte, on m'a informé qu'en plus de Pastel il y a un bug sur Logiciel de gestion des plannings. On n'a plus aucune visibilité sur les plannings, il y a une page blanche qui s'affiche sans aucun contenu, 
est-ce que c'est normal ?</v>
      </c>
      <c r="I30" s="19" t="s">
        <v>347</v>
      </c>
      <c r="J30" s="19" t="s">
        <v>14</v>
      </c>
    </row>
    <row r="31" spans="1:10" ht="46.8" x14ac:dyDescent="0.3">
      <c r="A31" s="9"/>
      <c r="B31" s="19">
        <v>30</v>
      </c>
      <c r="C31" s="20"/>
      <c r="D31" s="19" t="s">
        <v>11</v>
      </c>
      <c r="E31" s="19"/>
      <c r="F31" s="17"/>
      <c r="G31" s="19" t="s">
        <v>385</v>
      </c>
      <c r="H31" s="19" t="s">
        <v>386</v>
      </c>
      <c r="I31" s="19" t="s">
        <v>387</v>
      </c>
      <c r="J31" s="19" t="s">
        <v>14</v>
      </c>
    </row>
    <row r="32" spans="1:10" ht="62.4" x14ac:dyDescent="0.3">
      <c r="A32" s="9"/>
      <c r="B32" s="19">
        <v>31</v>
      </c>
      <c r="C32" s="20"/>
      <c r="D32" s="19" t="s">
        <v>11</v>
      </c>
      <c r="E32" s="19"/>
      <c r="F32" s="17"/>
      <c r="G32" s="19" t="str">
        <f>"Bug de "&amp;Applicatifs!$B$12&amp;" (Gestion des plannings)"</f>
        <v>Bug de Logiciel de gestion des plannings (Gestion des plannings)</v>
      </c>
      <c r="H32" s="19" t="str">
        <f>"Il y a des bugs sur "&amp;Applicatifs!$B$12&amp;", il semblerait que des créneaux soient apparus disponibles sans l'être. Par conséquent nous avons un grand nombre de rendez-vous qui se chevauchent et on ne peut même plus visualiser le planning de la journée sur certains postes."</f>
        <v>Il y a des bugs sur Logiciel de gestion des plannings, il semblerait que des créneaux soient apparus disponibles sans l'être. Par conséquent nous avons un grand nombre de rendez-vous qui se chevauchent et on ne peut même plus visualiser le planning de la journée sur certains postes.</v>
      </c>
      <c r="I32" s="19" t="s">
        <v>388</v>
      </c>
      <c r="J32" s="19" t="s">
        <v>14</v>
      </c>
    </row>
    <row r="33" spans="1:10" ht="46.8" x14ac:dyDescent="0.3">
      <c r="A33" s="9"/>
      <c r="B33" s="19">
        <v>32</v>
      </c>
      <c r="C33" s="20"/>
      <c r="D33" s="19" t="s">
        <v>11</v>
      </c>
      <c r="E33" s="19"/>
      <c r="F33" s="17"/>
      <c r="G33" s="19" t="s">
        <v>389</v>
      </c>
      <c r="H33" s="19" t="s">
        <v>390</v>
      </c>
      <c r="I33" s="19" t="s">
        <v>347</v>
      </c>
      <c r="J33" s="19" t="s">
        <v>14</v>
      </c>
    </row>
    <row r="34" spans="1:10" ht="31.2" x14ac:dyDescent="0.3">
      <c r="A34" s="9"/>
      <c r="B34" s="19">
        <v>33</v>
      </c>
      <c r="C34" s="20"/>
      <c r="D34" s="19" t="s">
        <v>11</v>
      </c>
      <c r="E34" s="19"/>
      <c r="F34" s="17"/>
      <c r="G34" s="19" t="s">
        <v>391</v>
      </c>
      <c r="H34" s="19" t="s">
        <v>392</v>
      </c>
      <c r="I34" s="19" t="s">
        <v>393</v>
      </c>
      <c r="J34" s="19" t="s">
        <v>14</v>
      </c>
    </row>
    <row r="35" spans="1:10" ht="46.8" x14ac:dyDescent="0.3">
      <c r="A35" s="9"/>
      <c r="B35" s="19">
        <v>34</v>
      </c>
      <c r="C35" s="20"/>
      <c r="D35" s="19" t="s">
        <v>11</v>
      </c>
      <c r="E35" s="19"/>
      <c r="F35" s="17"/>
      <c r="G35" s="19" t="s">
        <v>249</v>
      </c>
      <c r="H35" s="19" t="s">
        <v>250</v>
      </c>
      <c r="I35" s="19" t="s">
        <v>394</v>
      </c>
      <c r="J35" s="19" t="s">
        <v>14</v>
      </c>
    </row>
    <row r="36" spans="1:10" ht="31.2" x14ac:dyDescent="0.3">
      <c r="A36" s="9"/>
      <c r="B36" s="19">
        <v>35</v>
      </c>
      <c r="C36" s="20"/>
      <c r="D36" s="19" t="s">
        <v>11</v>
      </c>
      <c r="E36" s="19"/>
      <c r="F36" s="17"/>
      <c r="G36" s="19" t="s">
        <v>252</v>
      </c>
      <c r="H36" s="19" t="s">
        <v>253</v>
      </c>
      <c r="I36" s="19" t="s">
        <v>357</v>
      </c>
      <c r="J36" s="19" t="s">
        <v>14</v>
      </c>
    </row>
    <row r="37" spans="1:10" ht="78" x14ac:dyDescent="0.3">
      <c r="A37" s="9"/>
      <c r="B37" s="19">
        <v>36</v>
      </c>
      <c r="C37" s="20"/>
      <c r="D37" s="19" t="s">
        <v>11</v>
      </c>
      <c r="E37" s="19"/>
      <c r="F37" s="17"/>
      <c r="G37" s="19" t="s">
        <v>395</v>
      </c>
      <c r="H37" s="19" t="s">
        <v>396</v>
      </c>
      <c r="I37" s="19" t="s">
        <v>397</v>
      </c>
      <c r="J37" s="19" t="s">
        <v>14</v>
      </c>
    </row>
    <row r="38" spans="1:10" ht="109.2" x14ac:dyDescent="0.3">
      <c r="A38" s="9"/>
      <c r="B38" s="19">
        <v>37</v>
      </c>
      <c r="C38" s="20"/>
      <c r="D38" s="19" t="s">
        <v>11</v>
      </c>
      <c r="E38" s="19"/>
      <c r="F38" s="17"/>
      <c r="G38" s="19" t="s">
        <v>257</v>
      </c>
      <c r="H38" s="19" t="s">
        <v>398</v>
      </c>
      <c r="I38" s="19" t="s">
        <v>349</v>
      </c>
      <c r="J38" s="19" t="s">
        <v>14</v>
      </c>
    </row>
    <row r="39" spans="1:10" ht="46.8" x14ac:dyDescent="0.3">
      <c r="A39" s="9"/>
      <c r="B39" s="19">
        <v>38</v>
      </c>
      <c r="C39" s="20"/>
      <c r="D39" s="19" t="s">
        <v>11</v>
      </c>
      <c r="E39" s="19"/>
      <c r="F39" s="17"/>
      <c r="G39" s="19" t="s">
        <v>260</v>
      </c>
      <c r="H39" s="19" t="s">
        <v>399</v>
      </c>
      <c r="I39" s="19" t="s">
        <v>400</v>
      </c>
      <c r="J39" s="19" t="s">
        <v>14</v>
      </c>
    </row>
    <row r="40" spans="1:10" ht="78" x14ac:dyDescent="0.3">
      <c r="A40" s="9"/>
      <c r="B40" s="19">
        <v>39</v>
      </c>
      <c r="C40" s="20"/>
      <c r="D40" s="19" t="s">
        <v>11</v>
      </c>
      <c r="E40" s="19"/>
      <c r="F40" s="17"/>
      <c r="G40" s="19" t="s">
        <v>401</v>
      </c>
      <c r="H40" s="19" t="s">
        <v>402</v>
      </c>
      <c r="I40" s="19" t="s">
        <v>349</v>
      </c>
      <c r="J40" s="19" t="s">
        <v>14</v>
      </c>
    </row>
    <row r="41" spans="1:10" ht="46.8" x14ac:dyDescent="0.3">
      <c r="A41" s="9"/>
      <c r="B41" s="19">
        <v>40</v>
      </c>
      <c r="C41" s="20"/>
      <c r="D41" s="19" t="s">
        <v>11</v>
      </c>
      <c r="E41" s="19"/>
      <c r="F41" s="17"/>
      <c r="G41" s="19" t="s">
        <v>403</v>
      </c>
      <c r="H41" s="19" t="s">
        <v>404</v>
      </c>
      <c r="I41" s="19" t="s">
        <v>368</v>
      </c>
      <c r="J41" s="19" t="s">
        <v>14</v>
      </c>
    </row>
    <row r="42" spans="1:10" ht="31.2" x14ac:dyDescent="0.3">
      <c r="A42" s="9"/>
      <c r="B42" s="19">
        <v>41</v>
      </c>
      <c r="C42" s="20"/>
      <c r="D42" s="19" t="s">
        <v>11</v>
      </c>
      <c r="E42" s="19"/>
      <c r="F42" s="17"/>
      <c r="G42" s="19" t="str">
        <f>"Panne "&amp;Applicatifs!$B$7&amp;" (PACS)"</f>
        <v>Panne PACS (PACS)</v>
      </c>
      <c r="H42" s="19" t="str">
        <f>"Bonjour, "&amp;Applicatifs!$B$7&amp;" est inaccessible, on est obligé de se déplacer pour accéder aux résultats d'imagerie. On perd un temps fou !"</f>
        <v>Bonjour, PACS est inaccessible, on est obligé de se déplacer pour accéder aux résultats d'imagerie. On perd un temps fou !</v>
      </c>
      <c r="I42" s="19" t="s">
        <v>350</v>
      </c>
      <c r="J42" s="19" t="s">
        <v>14</v>
      </c>
    </row>
    <row r="43" spans="1:10" ht="93.6" x14ac:dyDescent="0.3">
      <c r="A43" s="9"/>
      <c r="B43" s="19">
        <v>42</v>
      </c>
      <c r="C43" s="20"/>
      <c r="D43" s="19" t="s">
        <v>11</v>
      </c>
      <c r="E43" s="19"/>
      <c r="F43" s="17"/>
      <c r="G43" s="19" t="s">
        <v>405</v>
      </c>
      <c r="H43" s="19" t="str">
        <f>"Bonjour, nous avons des alertes qui remontent, les dysfonctionnement s'affichent en rouge. Le réseau est saturé depuis cette nuit, on ne comprend pas l'origine des flux. Plusieurs applications sont en panne : "&amp;Applicatifs!$B$7&amp;", "&amp;Applicatifs!$B$5&amp;", "&amp;Applicatifs!$B$6&amp;", "&amp;Applicatifs!$B$9&amp;", "&amp;Applicatifs!$B$12&amp;".
C'est très inquiétant. On vérifie les bases de données, on redémarre les serveurs et, si ça ne suffit pas, on alertera l'hébergeur."</f>
        <v>Bonjour, nous avons des alertes qui remontent, les dysfonctionnement s'affichent en rouge. Le réseau est saturé depuis cette nuit, on ne comprend pas l'origine des flux. Plusieurs applications sont en panne : PACS, Pastel, INLOG, Logiciel de gestion des repas, Logiciel de gestion des plannings.
C'est très inquiétant. On vérifie les bases de données, on redémarre les serveurs et, si ça ne suffit pas, on alertera l'hébergeur.</v>
      </c>
      <c r="I43" s="19" t="s">
        <v>368</v>
      </c>
      <c r="J43" s="19" t="s">
        <v>14</v>
      </c>
    </row>
    <row r="44" spans="1:10" ht="46.8" x14ac:dyDescent="0.3">
      <c r="A44" s="9"/>
      <c r="B44" s="19">
        <v>43</v>
      </c>
      <c r="C44" s="20"/>
      <c r="D44" s="19" t="s">
        <v>11</v>
      </c>
      <c r="E44" s="19"/>
      <c r="F44" s="17"/>
      <c r="G44" s="19" t="s">
        <v>406</v>
      </c>
      <c r="H44" s="19" t="str">
        <f>"Bonjour, on observe de nombreuses coupures applicatives. Il faut passer en mode dégradé dans les services. Ce qui est en panne : "&amp;Applicatifs!$B$7&amp;", "&amp;Applicatifs!$B$5&amp;", "&amp;Applicatifs!$B$6&amp;", "&amp;Applicatifs!$B$9&amp;", "&amp;Applicatifs!$B$12&amp;"."</f>
        <v>Bonjour, on observe de nombreuses coupures applicatives. Il faut passer en mode dégradé dans les services. Ce qui est en panne : PACS, Pastel, INLOG, Logiciel de gestion des repas, Logiciel de gestion des plannings.</v>
      </c>
      <c r="I44" s="19" t="s">
        <v>368</v>
      </c>
      <c r="J44" s="19" t="s">
        <v>14</v>
      </c>
    </row>
    <row r="45" spans="1:10" ht="62.4" x14ac:dyDescent="0.3">
      <c r="A45" s="9"/>
      <c r="B45" s="19">
        <v>44</v>
      </c>
      <c r="C45" s="20"/>
      <c r="D45" s="19" t="s">
        <v>11</v>
      </c>
      <c r="E45" s="19"/>
      <c r="F45" s="17"/>
      <c r="G45" s="19" t="s">
        <v>407</v>
      </c>
      <c r="H45" s="19" t="s">
        <v>408</v>
      </c>
      <c r="I45" s="19" t="s">
        <v>349</v>
      </c>
      <c r="J45" s="19" t="s">
        <v>14</v>
      </c>
    </row>
    <row r="46" spans="1:10" ht="46.8" x14ac:dyDescent="0.3">
      <c r="A46" s="9"/>
      <c r="B46" s="19">
        <v>45</v>
      </c>
      <c r="C46" s="20"/>
      <c r="D46" s="19" t="s">
        <v>11</v>
      </c>
      <c r="E46" s="19"/>
      <c r="F46" s="17"/>
      <c r="G46" s="19" t="s">
        <v>409</v>
      </c>
      <c r="H46" s="19" t="s">
        <v>410</v>
      </c>
      <c r="I46" s="19" t="s">
        <v>349</v>
      </c>
      <c r="J46" s="19" t="s">
        <v>14</v>
      </c>
    </row>
    <row r="47" spans="1:10" ht="78" x14ac:dyDescent="0.3">
      <c r="A47" s="9"/>
      <c r="B47" s="19">
        <v>46</v>
      </c>
      <c r="C47" s="20"/>
      <c r="D47" s="19" t="s">
        <v>11</v>
      </c>
      <c r="E47" s="19"/>
      <c r="F47" s="17"/>
      <c r="G47" s="19" t="s">
        <v>411</v>
      </c>
      <c r="H47" s="19" t="s">
        <v>412</v>
      </c>
      <c r="I47" s="19" t="s">
        <v>349</v>
      </c>
      <c r="J47" s="19" t="s">
        <v>14</v>
      </c>
    </row>
    <row r="48" spans="1:10" ht="46.8" x14ac:dyDescent="0.3">
      <c r="A48" s="9"/>
      <c r="B48" s="19">
        <v>47</v>
      </c>
      <c r="C48" s="20"/>
      <c r="D48" s="19" t="s">
        <v>11</v>
      </c>
      <c r="E48" s="19"/>
      <c r="F48" s="17"/>
      <c r="G48" s="19" t="s">
        <v>413</v>
      </c>
      <c r="H48" s="19" t="s">
        <v>414</v>
      </c>
      <c r="I48" s="19" t="s">
        <v>387</v>
      </c>
      <c r="J48" s="19" t="s">
        <v>14</v>
      </c>
    </row>
    <row r="49" spans="1:10" ht="93.6" x14ac:dyDescent="0.3">
      <c r="A49" s="9"/>
      <c r="B49" s="19">
        <v>48</v>
      </c>
      <c r="C49" s="20"/>
      <c r="D49" s="19" t="s">
        <v>11</v>
      </c>
      <c r="E49" s="19"/>
      <c r="F49" s="17"/>
      <c r="G49" s="19" t="s">
        <v>413</v>
      </c>
      <c r="H49" s="19" t="s">
        <v>415</v>
      </c>
      <c r="I49" s="19" t="s">
        <v>387</v>
      </c>
      <c r="J49" s="19" t="s">
        <v>14</v>
      </c>
    </row>
    <row r="50" spans="1:10" ht="62.4" x14ac:dyDescent="0.3">
      <c r="A50" s="9"/>
      <c r="B50" s="19">
        <v>49</v>
      </c>
      <c r="C50" s="20"/>
      <c r="D50" s="19" t="s">
        <v>11</v>
      </c>
      <c r="E50" s="19"/>
      <c r="F50" s="17"/>
      <c r="G50" s="19" t="s">
        <v>413</v>
      </c>
      <c r="H50" s="19" t="s">
        <v>416</v>
      </c>
      <c r="I50" s="19" t="s">
        <v>387</v>
      </c>
      <c r="J50" s="19" t="s">
        <v>14</v>
      </c>
    </row>
    <row r="51" spans="1:10" ht="31.2" x14ac:dyDescent="0.3">
      <c r="A51" s="9"/>
      <c r="B51" s="19">
        <v>50</v>
      </c>
      <c r="C51" s="20"/>
      <c r="D51" s="19" t="s">
        <v>11</v>
      </c>
      <c r="E51" s="19"/>
      <c r="F51" s="17"/>
      <c r="G51" s="19" t="str">
        <f>"Coupure du DPI : "&amp;Applicatifs!$B$4&amp;" ne fonctionne plus"</f>
        <v>Coupure du DPI : CrossWay ne fonctionne plus</v>
      </c>
      <c r="H51" s="19" t="str">
        <f>Applicatifs!$B$4&amp;" est en panne, on n'a plus du tout accès au DPI ! Avec toutes ces coupures ce n'est plus possible de travailler !!!"</f>
        <v>CrossWay est en panne, on n'a plus du tout accès au DPI ! Avec toutes ces coupures ce n'est plus possible de travailler !!!</v>
      </c>
      <c r="I51" s="19" t="s">
        <v>350</v>
      </c>
      <c r="J51" s="19" t="s">
        <v>14</v>
      </c>
    </row>
    <row r="52" spans="1:10" ht="78" x14ac:dyDescent="0.3">
      <c r="A52" s="9"/>
      <c r="B52" s="19">
        <v>51</v>
      </c>
      <c r="C52" s="20"/>
      <c r="D52" s="19" t="s">
        <v>11</v>
      </c>
      <c r="E52" s="19"/>
      <c r="F52" s="17"/>
      <c r="G52" s="19" t="s">
        <v>81</v>
      </c>
      <c r="H52" s="19" t="s">
        <v>417</v>
      </c>
      <c r="I52" s="19" t="s">
        <v>347</v>
      </c>
      <c r="J52" s="19" t="s">
        <v>14</v>
      </c>
    </row>
    <row r="53" spans="1:10" ht="46.8" x14ac:dyDescent="0.3">
      <c r="A53" s="9"/>
      <c r="B53" s="19">
        <v>52</v>
      </c>
      <c r="C53" s="20"/>
      <c r="D53" s="19" t="s">
        <v>11</v>
      </c>
      <c r="E53" s="19"/>
      <c r="F53" s="17"/>
      <c r="G53" s="19" t="s">
        <v>418</v>
      </c>
      <c r="H53" s="19" t="s">
        <v>419</v>
      </c>
      <c r="I53" s="19" t="s">
        <v>420</v>
      </c>
      <c r="J53" s="19" t="s">
        <v>14</v>
      </c>
    </row>
    <row r="54" spans="1:10" ht="31.2" x14ac:dyDescent="0.3">
      <c r="A54" s="9"/>
      <c r="B54" s="19">
        <v>53</v>
      </c>
      <c r="C54" s="20"/>
      <c r="D54" s="19" t="s">
        <v>11</v>
      </c>
      <c r="E54" s="19"/>
      <c r="F54" s="17"/>
      <c r="G54" s="19" t="s">
        <v>421</v>
      </c>
      <c r="H54" s="19" t="s">
        <v>362</v>
      </c>
      <c r="I54" s="19" t="s">
        <v>350</v>
      </c>
      <c r="J54" s="19" t="s">
        <v>14</v>
      </c>
    </row>
    <row r="55" spans="1:10" ht="31.2" x14ac:dyDescent="0.3">
      <c r="A55" s="9"/>
      <c r="B55" s="19">
        <v>54</v>
      </c>
      <c r="C55" s="20"/>
      <c r="D55" s="19" t="s">
        <v>11</v>
      </c>
      <c r="E55" s="19"/>
      <c r="F55" s="17"/>
      <c r="G55" s="19" t="s">
        <v>422</v>
      </c>
      <c r="H55" s="19" t="s">
        <v>423</v>
      </c>
      <c r="I55" s="19" t="s">
        <v>368</v>
      </c>
      <c r="J55" s="19" t="s">
        <v>14</v>
      </c>
    </row>
    <row r="56" spans="1:10" ht="140.4" x14ac:dyDescent="0.3">
      <c r="A56" s="9"/>
      <c r="B56" s="19">
        <v>55</v>
      </c>
      <c r="C56" s="20"/>
      <c r="D56" s="19" t="s">
        <v>11</v>
      </c>
      <c r="E56" s="19"/>
      <c r="F56" s="17"/>
      <c r="G56" s="19" t="s">
        <v>327</v>
      </c>
      <c r="H56" s="19" t="s">
        <v>424</v>
      </c>
      <c r="I56" s="19" t="s">
        <v>425</v>
      </c>
      <c r="J56" s="19" t="s">
        <v>14</v>
      </c>
    </row>
    <row r="57" spans="1:10" ht="46.8" x14ac:dyDescent="0.3">
      <c r="A57" s="9"/>
      <c r="B57" s="19">
        <v>56</v>
      </c>
      <c r="C57" s="20"/>
      <c r="D57" s="19" t="s">
        <v>11</v>
      </c>
      <c r="E57" s="19"/>
      <c r="F57" s="17"/>
      <c r="G57" s="19" t="s">
        <v>426</v>
      </c>
      <c r="H57" s="19" t="s">
        <v>427</v>
      </c>
      <c r="I57" s="19" t="s">
        <v>420</v>
      </c>
      <c r="J57" s="19" t="s">
        <v>14</v>
      </c>
    </row>
    <row r="58" spans="1:10" ht="46.8" x14ac:dyDescent="0.3">
      <c r="A58" s="9"/>
      <c r="B58" s="19">
        <v>57</v>
      </c>
      <c r="C58" s="20"/>
      <c r="D58" s="19" t="s">
        <v>11</v>
      </c>
      <c r="E58" s="19"/>
      <c r="F58" s="17"/>
      <c r="G58" s="19" t="s">
        <v>428</v>
      </c>
      <c r="H58" s="19" t="s">
        <v>429</v>
      </c>
      <c r="I58" s="19" t="s">
        <v>420</v>
      </c>
      <c r="J58" s="19" t="s">
        <v>14</v>
      </c>
    </row>
    <row r="59" spans="1:10" ht="62.4" x14ac:dyDescent="0.3">
      <c r="A59" s="9"/>
      <c r="B59" s="19">
        <v>58</v>
      </c>
      <c r="C59" s="20"/>
      <c r="D59" s="19" t="s">
        <v>11</v>
      </c>
      <c r="E59" s="19"/>
      <c r="F59" s="17"/>
      <c r="G59" s="19" t="s">
        <v>430</v>
      </c>
      <c r="H59" s="19" t="s">
        <v>431</v>
      </c>
      <c r="I59" s="19" t="s">
        <v>420</v>
      </c>
      <c r="J59" s="19" t="s">
        <v>14</v>
      </c>
    </row>
    <row r="60" spans="1:10" ht="31.2" x14ac:dyDescent="0.3">
      <c r="A60" s="9"/>
      <c r="B60" s="19">
        <v>59</v>
      </c>
      <c r="C60" s="20"/>
      <c r="D60" s="19" t="s">
        <v>11</v>
      </c>
      <c r="E60" s="19"/>
      <c r="F60" s="17"/>
      <c r="G60" s="19" t="str">
        <f>"Dysfonctionnement "&amp;Applicatifs!$B$8&amp;" (Armoires informatisées)"</f>
        <v>Dysfonctionnement Armoires informatisées (Armoires informatisées)</v>
      </c>
      <c r="H60" s="19" t="s">
        <v>362</v>
      </c>
      <c r="I60" s="19" t="s">
        <v>350</v>
      </c>
      <c r="J60" s="19" t="s">
        <v>14</v>
      </c>
    </row>
    <row r="61" spans="1:10" ht="62.4" x14ac:dyDescent="0.3">
      <c r="A61" s="9"/>
      <c r="B61" s="19">
        <v>60</v>
      </c>
      <c r="C61" s="20"/>
      <c r="D61" s="19" t="s">
        <v>11</v>
      </c>
      <c r="E61" s="19"/>
      <c r="F61" s="17"/>
      <c r="G61" s="19" t="str">
        <f>"Problème "&amp;Applicatifs!$B$13&amp;" (Gestion des stocks)"</f>
        <v>Problème Pharma® (Gestion des stocks)</v>
      </c>
      <c r="H61" s="19" t="str">
        <f>"Bonjour, on vous contacte car depuis ce matin "&amp;Applicatifs!$B$13&amp;" ne fonctionne plus. On essaye de pallier à la situation en allant chercher nous-mêmes les commandes mais là on accumule beaucoup de retard et les services se plaignent. Savez-vous ce qu'il en est ?"</f>
        <v>Bonjour, on vous contacte car depuis ce matin Pharma® ne fonctionne plus. On essaye de pallier à la situation en allant chercher nous-mêmes les commandes mais là on accumule beaucoup de retard et les services se plaignent. Savez-vous ce qu'il en est ?</v>
      </c>
      <c r="I61" s="19" t="s">
        <v>432</v>
      </c>
      <c r="J61" s="19" t="s">
        <v>14</v>
      </c>
    </row>
    <row r="62" spans="1:10" ht="409.6" x14ac:dyDescent="0.3">
      <c r="A62" s="9"/>
      <c r="B62" s="19">
        <v>61</v>
      </c>
      <c r="C62" s="20"/>
      <c r="D62" s="19" t="s">
        <v>11</v>
      </c>
      <c r="E62" s="19"/>
      <c r="F62" s="17"/>
      <c r="G62" s="19" t="s">
        <v>433</v>
      </c>
      <c r="H62" s="19" t="s">
        <v>434</v>
      </c>
      <c r="I62" s="19" t="s">
        <v>435</v>
      </c>
      <c r="J62" s="19" t="s">
        <v>14</v>
      </c>
    </row>
    <row r="63" spans="1:10" ht="409.6" x14ac:dyDescent="0.3">
      <c r="A63" s="9"/>
      <c r="B63" s="19">
        <v>62</v>
      </c>
      <c r="C63" s="20"/>
      <c r="D63" s="19" t="s">
        <v>11</v>
      </c>
      <c r="E63" s="19"/>
      <c r="F63" s="17"/>
      <c r="G63" s="19" t="s">
        <v>436</v>
      </c>
      <c r="H63" s="19" t="s">
        <v>437</v>
      </c>
      <c r="I63" s="19" t="s">
        <v>435</v>
      </c>
      <c r="J63" s="19" t="s">
        <v>14</v>
      </c>
    </row>
    <row r="64" spans="1:10" ht="409.6" x14ac:dyDescent="0.3">
      <c r="A64" s="9"/>
      <c r="B64" s="19">
        <v>63</v>
      </c>
      <c r="C64" s="20"/>
      <c r="D64" s="19" t="s">
        <v>11</v>
      </c>
      <c r="E64" s="19"/>
      <c r="F64" s="17"/>
      <c r="G64" s="19" t="s">
        <v>436</v>
      </c>
      <c r="H64" s="19" t="s">
        <v>438</v>
      </c>
      <c r="I64" s="19" t="s">
        <v>435</v>
      </c>
      <c r="J64" s="19" t="s">
        <v>14</v>
      </c>
    </row>
    <row r="65" spans="1:10" ht="31.2" x14ac:dyDescent="0.3">
      <c r="A65" s="9"/>
      <c r="B65" s="19">
        <v>65</v>
      </c>
      <c r="C65" s="20"/>
      <c r="D65" s="19" t="s">
        <v>11</v>
      </c>
      <c r="E65" s="19"/>
      <c r="F65" s="17"/>
      <c r="G65" s="19" t="str">
        <f>"Problème "&amp;Applicatifs!$B$13&amp;" (Gestion des stocks)"</f>
        <v>Problème Pharma® (Gestion des stocks)</v>
      </c>
      <c r="H65" s="19" t="str">
        <f>"Bonjour, on vous contacte car depuis ce matin "&amp;Applicatifs!$B$13&amp;" ne fonctionne plus. C'est la panique à la pharmacie et tout est très long. Savez-vous ce qu'il en est ?"</f>
        <v>Bonjour, on vous contacte car depuis ce matin Pharma® ne fonctionne plus. C'est la panique à la pharmacie et tout est très long. Savez-vous ce qu'il en est ?</v>
      </c>
      <c r="I65" s="19" t="s">
        <v>350</v>
      </c>
      <c r="J65" s="19" t="s">
        <v>14</v>
      </c>
    </row>
    <row r="66" spans="1:10" ht="93.6" x14ac:dyDescent="0.3">
      <c r="A66" s="9"/>
      <c r="B66" s="19">
        <v>66</v>
      </c>
      <c r="C66" s="20"/>
      <c r="D66" s="19" t="s">
        <v>11</v>
      </c>
      <c r="E66" s="19"/>
      <c r="F66" s="17"/>
      <c r="G66" s="19" t="s">
        <v>439</v>
      </c>
      <c r="H66" s="19" t="s">
        <v>440</v>
      </c>
      <c r="I66" s="19" t="s">
        <v>155</v>
      </c>
      <c r="J66" s="19" t="s">
        <v>14</v>
      </c>
    </row>
    <row r="67" spans="1:10" ht="409.6" x14ac:dyDescent="0.3">
      <c r="A67" s="9"/>
      <c r="B67" s="19">
        <v>67</v>
      </c>
      <c r="C67" s="20"/>
      <c r="D67" s="19" t="s">
        <v>11</v>
      </c>
      <c r="E67" s="19"/>
      <c r="F67" s="17"/>
      <c r="G67" s="19" t="s">
        <v>441</v>
      </c>
      <c r="H67" s="19" t="s">
        <v>442</v>
      </c>
      <c r="I67" s="19" t="s">
        <v>425</v>
      </c>
      <c r="J67" s="19" t="s">
        <v>14</v>
      </c>
    </row>
    <row r="68" spans="1:10" ht="78" x14ac:dyDescent="0.3">
      <c r="A68" s="9"/>
      <c r="B68" s="19">
        <v>68</v>
      </c>
      <c r="C68" s="20"/>
      <c r="D68" s="19" t="s">
        <v>11</v>
      </c>
      <c r="E68" s="19"/>
      <c r="F68" s="17"/>
      <c r="G68" s="19" t="s">
        <v>443</v>
      </c>
      <c r="H68" s="19" t="s">
        <v>444</v>
      </c>
      <c r="I68" s="19" t="s">
        <v>155</v>
      </c>
      <c r="J68" s="19" t="s">
        <v>14</v>
      </c>
    </row>
    <row r="69" spans="1:10" ht="31.2" x14ac:dyDescent="0.3">
      <c r="A69" s="9"/>
      <c r="B69" s="19">
        <v>69</v>
      </c>
      <c r="C69" s="20"/>
      <c r="D69" s="19" t="s">
        <v>11</v>
      </c>
      <c r="E69" s="19"/>
      <c r="F69" s="17"/>
      <c r="G69" s="19" t="s">
        <v>445</v>
      </c>
      <c r="H69" s="19" t="s">
        <v>446</v>
      </c>
      <c r="I69" s="19" t="s">
        <v>447</v>
      </c>
      <c r="J69" s="19" t="s">
        <v>14</v>
      </c>
    </row>
    <row r="70" spans="1:10" ht="78" x14ac:dyDescent="0.3">
      <c r="A70" s="9"/>
      <c r="B70" s="19">
        <v>71</v>
      </c>
      <c r="C70" s="20"/>
      <c r="D70" s="19" t="s">
        <v>11</v>
      </c>
      <c r="E70" s="19"/>
      <c r="F70" s="17"/>
      <c r="G70" s="19" t="s">
        <v>448</v>
      </c>
      <c r="H70" s="19" t="s">
        <v>449</v>
      </c>
      <c r="I70" s="19" t="s">
        <v>155</v>
      </c>
      <c r="J70" s="19" t="s">
        <v>14</v>
      </c>
    </row>
    <row r="71" spans="1:10" ht="46.8" x14ac:dyDescent="0.3">
      <c r="A71" s="9"/>
      <c r="B71" s="19">
        <v>72</v>
      </c>
      <c r="C71" s="20"/>
      <c r="D71" s="19" t="s">
        <v>11</v>
      </c>
      <c r="E71" s="19"/>
      <c r="F71" s="17"/>
      <c r="G71" s="19" t="s">
        <v>450</v>
      </c>
      <c r="H71" s="19" t="s">
        <v>451</v>
      </c>
      <c r="I71" s="19" t="s">
        <v>452</v>
      </c>
      <c r="J71" s="19" t="s">
        <v>14</v>
      </c>
    </row>
    <row r="72" spans="1:10" ht="15.6" x14ac:dyDescent="0.3">
      <c r="A72" s="9"/>
      <c r="B72" s="19">
        <v>73</v>
      </c>
      <c r="C72" s="20"/>
      <c r="D72" s="19" t="s">
        <v>11</v>
      </c>
      <c r="E72" s="19"/>
      <c r="F72" s="17"/>
      <c r="G72" s="19" t="s">
        <v>453</v>
      </c>
      <c r="H72" s="19" t="s">
        <v>454</v>
      </c>
      <c r="I72" s="19" t="s">
        <v>155</v>
      </c>
      <c r="J72" s="19" t="s">
        <v>14</v>
      </c>
    </row>
    <row r="73" spans="1:10" ht="46.8" x14ac:dyDescent="0.3">
      <c r="A73" s="9"/>
      <c r="B73" s="19">
        <v>74</v>
      </c>
      <c r="C73" s="20"/>
      <c r="D73" s="19" t="s">
        <v>11</v>
      </c>
      <c r="E73" s="19"/>
      <c r="F73" s="17"/>
      <c r="G73" s="19" t="s">
        <v>455</v>
      </c>
      <c r="H73" s="19" t="s">
        <v>456</v>
      </c>
      <c r="I73" s="19" t="s">
        <v>435</v>
      </c>
      <c r="J73" s="19" t="s">
        <v>14</v>
      </c>
    </row>
    <row r="74" spans="1:10" ht="31.2" x14ac:dyDescent="0.3">
      <c r="A74" s="9"/>
      <c r="B74" s="19">
        <v>75</v>
      </c>
      <c r="C74" s="20"/>
      <c r="D74" s="19" t="s">
        <v>11</v>
      </c>
      <c r="E74" s="19"/>
      <c r="F74" s="17"/>
      <c r="G74" s="19" t="s">
        <v>457</v>
      </c>
      <c r="H74" s="19" t="s">
        <v>458</v>
      </c>
      <c r="I74" s="19" t="s">
        <v>435</v>
      </c>
      <c r="J74" s="19" t="s">
        <v>14</v>
      </c>
    </row>
    <row r="75" spans="1:10" ht="15.6" x14ac:dyDescent="0.3">
      <c r="A75" s="9"/>
      <c r="B75" s="19">
        <v>76</v>
      </c>
      <c r="C75" s="20"/>
      <c r="D75" s="19" t="s">
        <v>11</v>
      </c>
      <c r="E75" s="19"/>
      <c r="F75" s="17"/>
      <c r="G75" s="19" t="s">
        <v>459</v>
      </c>
      <c r="H75" s="19" t="s">
        <v>460</v>
      </c>
      <c r="I75" s="19" t="s">
        <v>435</v>
      </c>
      <c r="J75" s="19" t="s">
        <v>14</v>
      </c>
    </row>
    <row r="76" spans="1:10" ht="15.6" x14ac:dyDescent="0.3">
      <c r="A76" s="9"/>
      <c r="B76" s="19">
        <v>77</v>
      </c>
      <c r="C76" s="20"/>
      <c r="D76" s="19" t="s">
        <v>11</v>
      </c>
      <c r="E76" s="19"/>
      <c r="F76" s="17"/>
      <c r="G76" s="19" t="s">
        <v>461</v>
      </c>
      <c r="H76" s="19" t="s">
        <v>462</v>
      </c>
      <c r="I76" s="19" t="s">
        <v>435</v>
      </c>
      <c r="J76" s="19" t="s">
        <v>14</v>
      </c>
    </row>
    <row r="77" spans="1:10" ht="31.2" x14ac:dyDescent="0.3">
      <c r="A77" s="9"/>
      <c r="B77" s="19">
        <v>78</v>
      </c>
      <c r="C77" s="20"/>
      <c r="D77" s="19" t="s">
        <v>11</v>
      </c>
      <c r="E77" s="19"/>
      <c r="F77" s="17"/>
      <c r="G77" s="19" t="s">
        <v>463</v>
      </c>
      <c r="H77" s="19" t="s">
        <v>464</v>
      </c>
      <c r="I77" s="19" t="s">
        <v>435</v>
      </c>
      <c r="J77" s="19" t="s">
        <v>14</v>
      </c>
    </row>
    <row r="78" spans="1:10" ht="46.8" x14ac:dyDescent="0.3">
      <c r="A78" s="9"/>
      <c r="B78" s="19">
        <v>79</v>
      </c>
      <c r="C78" s="20"/>
      <c r="D78" s="19" t="s">
        <v>11</v>
      </c>
      <c r="E78" s="19"/>
      <c r="F78" s="17"/>
      <c r="G78" s="19" t="str">
        <f>"Perte du monitorage "&amp;Applicatifs!$B$14&amp;" (USC, USIC, USINV)"</f>
        <v>Perte du monitorage Logiciel de surveillance des patients (Général) (USC, USIC, USINV)</v>
      </c>
      <c r="H78" s="19" t="s">
        <v>465</v>
      </c>
      <c r="I78" s="19" t="s">
        <v>466</v>
      </c>
      <c r="J78" s="19" t="s">
        <v>14</v>
      </c>
    </row>
    <row r="79" spans="1:10" ht="31.2" x14ac:dyDescent="0.3">
      <c r="A79" s="9"/>
      <c r="B79" s="19">
        <v>80</v>
      </c>
      <c r="C79" s="20"/>
      <c r="D79" s="19" t="s">
        <v>11</v>
      </c>
      <c r="E79" s="19"/>
      <c r="F79" s="17"/>
      <c r="G79" s="19" t="s">
        <v>467</v>
      </c>
      <c r="H79" s="19" t="s">
        <v>468</v>
      </c>
      <c r="I79" s="19" t="s">
        <v>347</v>
      </c>
      <c r="J79" s="19" t="s">
        <v>14</v>
      </c>
    </row>
    <row r="80" spans="1:10" ht="78" x14ac:dyDescent="0.3">
      <c r="A80" s="9"/>
      <c r="B80" s="19">
        <v>81</v>
      </c>
      <c r="C80" s="20"/>
      <c r="D80" s="19" t="s">
        <v>11</v>
      </c>
      <c r="E80" s="19"/>
      <c r="F80" s="17"/>
      <c r="G80" s="19" t="s">
        <v>469</v>
      </c>
      <c r="H80" s="19" t="s">
        <v>470</v>
      </c>
      <c r="I80" s="19" t="s">
        <v>356</v>
      </c>
      <c r="J80" s="19" t="s">
        <v>14</v>
      </c>
    </row>
    <row r="81" spans="1:10" ht="62.4" x14ac:dyDescent="0.3">
      <c r="A81" s="9"/>
      <c r="B81" s="19">
        <v>82</v>
      </c>
      <c r="C81" s="20"/>
      <c r="D81" s="19" t="s">
        <v>11</v>
      </c>
      <c r="E81" s="19"/>
      <c r="F81" s="17"/>
      <c r="G81" s="19" t="s">
        <v>471</v>
      </c>
      <c r="H81" s="19" t="s">
        <v>472</v>
      </c>
      <c r="I81" s="19" t="s">
        <v>347</v>
      </c>
      <c r="J81" s="19" t="s">
        <v>14</v>
      </c>
    </row>
    <row r="82" spans="1:10" ht="78" x14ac:dyDescent="0.3">
      <c r="A82" s="9"/>
      <c r="B82" s="19">
        <v>83</v>
      </c>
      <c r="C82" s="20"/>
      <c r="D82" s="19" t="s">
        <v>11</v>
      </c>
      <c r="E82" s="19"/>
      <c r="F82" s="17"/>
      <c r="G82" s="19" t="s">
        <v>473</v>
      </c>
      <c r="H82" s="19" t="s">
        <v>474</v>
      </c>
      <c r="I82" s="19" t="s">
        <v>475</v>
      </c>
      <c r="J82" s="19" t="s">
        <v>14</v>
      </c>
    </row>
    <row r="83" spans="1:10" ht="280.8" x14ac:dyDescent="0.3">
      <c r="A83" s="9"/>
      <c r="B83" s="19">
        <v>84</v>
      </c>
      <c r="C83" s="20"/>
      <c r="D83" s="19" t="s">
        <v>11</v>
      </c>
      <c r="E83" s="19"/>
      <c r="F83" s="17"/>
      <c r="G83" s="19" t="s">
        <v>476</v>
      </c>
      <c r="H83" s="19" t="s">
        <v>477</v>
      </c>
      <c r="I83" s="19" t="s">
        <v>425</v>
      </c>
      <c r="J83" s="19" t="s">
        <v>14</v>
      </c>
    </row>
    <row r="84" spans="1:10" ht="218.4" x14ac:dyDescent="0.3">
      <c r="A84" s="9"/>
      <c r="B84" s="19">
        <v>85</v>
      </c>
      <c r="C84" s="20"/>
      <c r="D84" s="19" t="s">
        <v>11</v>
      </c>
      <c r="E84" s="19"/>
      <c r="F84" s="17"/>
      <c r="G84" s="19" t="s">
        <v>478</v>
      </c>
      <c r="H84" s="19" t="s">
        <v>479</v>
      </c>
      <c r="I84" s="19" t="s">
        <v>425</v>
      </c>
      <c r="J84" s="19" t="s">
        <v>14</v>
      </c>
    </row>
    <row r="85" spans="1:10" ht="62.4" x14ac:dyDescent="0.3">
      <c r="A85" s="9"/>
      <c r="B85" s="19">
        <v>86</v>
      </c>
      <c r="C85" s="20"/>
      <c r="D85" s="19" t="s">
        <v>11</v>
      </c>
      <c r="E85" s="19"/>
      <c r="F85" s="17"/>
      <c r="G85" s="19" t="str">
        <f>"Bug de "&amp;Applicatifs!$B$15&amp;" (Gestion de la température)"</f>
        <v>Bug de Logiciel de gestion de la température (Laboratoire) (Gestion de la température)</v>
      </c>
      <c r="H85" s="19" t="str">
        <f>"Bonjour, on est très inquiet au laboratoire, on vient de voir que "&amp;Applicatifs!$B$15&amp;" ne fonctionnait pas cette nuit. On a aucun moyen de savoir si les frigos ont été maintenus à la bonne température. Ça pose un gros problème pour les poches sanguines, on ne sait pas quoi faire là."</f>
        <v>Bonjour, on est très inquiet au laboratoire, on vient de voir que Logiciel de gestion de la température (Laboratoire) ne fonctionnait pas cette nuit. On a aucun moyen de savoir si les frigos ont été maintenus à la bonne température. Ça pose un gros problème pour les poches sanguines, on ne sait pas quoi faire là.</v>
      </c>
      <c r="I85" s="19" t="s">
        <v>480</v>
      </c>
      <c r="J85" s="19" t="s">
        <v>14</v>
      </c>
    </row>
    <row r="86" spans="1:10" ht="31.2" x14ac:dyDescent="0.3">
      <c r="A86" s="9"/>
      <c r="B86" s="19">
        <v>87</v>
      </c>
      <c r="C86" s="20"/>
      <c r="D86" s="19" t="s">
        <v>11</v>
      </c>
      <c r="E86" s="19"/>
      <c r="F86" s="17"/>
      <c r="G86" s="19" t="s">
        <v>481</v>
      </c>
      <c r="H86" s="19" t="s">
        <v>482</v>
      </c>
      <c r="I86" s="19" t="s">
        <v>483</v>
      </c>
      <c r="J86" s="19" t="s">
        <v>14</v>
      </c>
    </row>
    <row r="87" spans="1:10" ht="78" x14ac:dyDescent="0.3">
      <c r="A87" s="9"/>
      <c r="B87" s="19">
        <v>88</v>
      </c>
      <c r="C87" s="20"/>
      <c r="D87" s="19" t="s">
        <v>11</v>
      </c>
      <c r="E87" s="19"/>
      <c r="F87" s="17"/>
      <c r="G87" s="19" t="s">
        <v>484</v>
      </c>
      <c r="H87" s="19" t="s">
        <v>485</v>
      </c>
      <c r="I87" s="19" t="s">
        <v>425</v>
      </c>
      <c r="J87" s="19" t="s">
        <v>14</v>
      </c>
    </row>
    <row r="88" spans="1:10" ht="46.8" x14ac:dyDescent="0.3">
      <c r="A88" s="9"/>
      <c r="B88" s="19">
        <v>89</v>
      </c>
      <c r="C88" s="20"/>
      <c r="D88" s="19" t="s">
        <v>11</v>
      </c>
      <c r="E88" s="19"/>
      <c r="F88" s="17"/>
      <c r="G88" s="19" t="s">
        <v>486</v>
      </c>
      <c r="H88" s="19" t="s">
        <v>487</v>
      </c>
      <c r="I88" s="19" t="s">
        <v>347</v>
      </c>
      <c r="J88" s="19" t="s">
        <v>14</v>
      </c>
    </row>
    <row r="89" spans="1:10" ht="31.2" x14ac:dyDescent="0.3">
      <c r="A89" s="9"/>
      <c r="B89" s="19">
        <v>90</v>
      </c>
      <c r="C89" s="20"/>
      <c r="D89" s="19" t="s">
        <v>11</v>
      </c>
      <c r="E89" s="19"/>
      <c r="F89" s="17"/>
      <c r="G89" s="19" t="s">
        <v>488</v>
      </c>
      <c r="H89" s="19" t="s">
        <v>488</v>
      </c>
      <c r="I89" s="19" t="s">
        <v>435</v>
      </c>
      <c r="J89" s="19" t="s">
        <v>14</v>
      </c>
    </row>
    <row r="90" spans="1:10" ht="62.4" x14ac:dyDescent="0.3">
      <c r="A90" s="9"/>
      <c r="B90" s="19">
        <v>91</v>
      </c>
      <c r="C90" s="20"/>
      <c r="D90" s="19" t="s">
        <v>11</v>
      </c>
      <c r="E90" s="19"/>
      <c r="F90" s="17"/>
      <c r="G90" s="19" t="s">
        <v>489</v>
      </c>
      <c r="H90" s="19" t="s">
        <v>490</v>
      </c>
      <c r="I90" s="19" t="s">
        <v>330</v>
      </c>
      <c r="J90" s="19" t="s">
        <v>14</v>
      </c>
    </row>
    <row r="91" spans="1:10" ht="62.4" x14ac:dyDescent="0.3">
      <c r="A91" s="9"/>
      <c r="B91" s="19">
        <v>92</v>
      </c>
      <c r="C91" s="20"/>
      <c r="D91" s="19" t="s">
        <v>11</v>
      </c>
      <c r="E91" s="19"/>
      <c r="F91" s="17"/>
      <c r="G91" s="19" t="s">
        <v>491</v>
      </c>
      <c r="H91" s="19" t="s">
        <v>492</v>
      </c>
      <c r="I91" s="19" t="s">
        <v>493</v>
      </c>
      <c r="J91" s="19" t="s">
        <v>14</v>
      </c>
    </row>
    <row r="92" spans="1:10" ht="31.2" x14ac:dyDescent="0.3">
      <c r="A92" s="9"/>
      <c r="B92" s="19">
        <v>93</v>
      </c>
      <c r="C92" s="20"/>
      <c r="D92" s="19" t="s">
        <v>11</v>
      </c>
      <c r="E92" s="19"/>
      <c r="F92" s="17"/>
      <c r="G92" s="19" t="s">
        <v>494</v>
      </c>
      <c r="H92" s="19" t="s">
        <v>495</v>
      </c>
      <c r="I92" s="19" t="s">
        <v>432</v>
      </c>
      <c r="J92" s="19" t="s">
        <v>14</v>
      </c>
    </row>
    <row r="93" spans="1:10" ht="31.2" x14ac:dyDescent="0.3">
      <c r="A93" s="9"/>
      <c r="B93" s="19">
        <v>94</v>
      </c>
      <c r="C93" s="20"/>
      <c r="D93" s="19" t="s">
        <v>11</v>
      </c>
      <c r="E93" s="19"/>
      <c r="F93" s="17"/>
      <c r="G93" s="19" t="s">
        <v>496</v>
      </c>
      <c r="H93" s="19" t="s">
        <v>497</v>
      </c>
      <c r="I93" s="19" t="s">
        <v>350</v>
      </c>
      <c r="J93" s="19" t="s">
        <v>14</v>
      </c>
    </row>
    <row r="94" spans="1:10" ht="187.2" x14ac:dyDescent="0.3">
      <c r="A94" s="9"/>
      <c r="B94" s="19">
        <v>95</v>
      </c>
      <c r="C94" s="20"/>
      <c r="D94" s="19" t="s">
        <v>11</v>
      </c>
      <c r="E94" s="19"/>
      <c r="F94" s="17"/>
      <c r="G94" s="19" t="s">
        <v>455</v>
      </c>
      <c r="H94" s="19" t="s">
        <v>498</v>
      </c>
      <c r="I94" s="19" t="s">
        <v>435</v>
      </c>
      <c r="J94" s="19" t="s">
        <v>14</v>
      </c>
    </row>
    <row r="95" spans="1:10" ht="46.8" x14ac:dyDescent="0.3">
      <c r="A95" s="9"/>
      <c r="B95" s="19">
        <v>96</v>
      </c>
      <c r="C95" s="20"/>
      <c r="D95" s="19" t="s">
        <v>11</v>
      </c>
      <c r="E95" s="19"/>
      <c r="F95" s="17"/>
      <c r="G95" s="19" t="str">
        <f>"Dysfonctionnement "&amp;Applicatifs!$B$16&amp;" (Suivi des chimiothérapies)"</f>
        <v>Dysfonctionnement Chimio (Suivi des chimiothérapies)</v>
      </c>
      <c r="H95" s="19" t="str">
        <f>"Le logiciel "&amp;Applicatifs!$B$16&amp;" ne fonctionne plus ! Que faire ? On est bloqué au service oncologie, on ne peut plus réaliser les chimiothérapies planifiées aujourd'hui car il est impossible de se connecter."</f>
        <v>Le logiciel Chimio ne fonctionne plus ! Que faire ? On est bloqué au service oncologie, on ne peut plus réaliser les chimiothérapies planifiées aujourd'hui car il est impossible de se connecter.</v>
      </c>
      <c r="I95" s="19" t="s">
        <v>499</v>
      </c>
      <c r="J95" s="19" t="s">
        <v>14</v>
      </c>
    </row>
    <row r="96" spans="1:10" ht="31.2" x14ac:dyDescent="0.3">
      <c r="A96" s="9"/>
      <c r="B96" s="19">
        <v>97</v>
      </c>
      <c r="C96" s="20"/>
      <c r="D96" s="19" t="s">
        <v>11</v>
      </c>
      <c r="E96" s="19"/>
      <c r="F96" s="17"/>
      <c r="G96" s="19" t="s">
        <v>500</v>
      </c>
      <c r="H96" s="19" t="s">
        <v>501</v>
      </c>
      <c r="I96" s="19" t="s">
        <v>502</v>
      </c>
      <c r="J96" s="19" t="s">
        <v>14</v>
      </c>
    </row>
    <row r="97" spans="1:10" ht="31.2" x14ac:dyDescent="0.3">
      <c r="A97" s="9"/>
      <c r="B97" s="19">
        <v>98</v>
      </c>
      <c r="C97" s="20"/>
      <c r="D97" s="19" t="s">
        <v>11</v>
      </c>
      <c r="E97" s="19"/>
      <c r="F97" s="17"/>
      <c r="G97" s="19" t="s">
        <v>503</v>
      </c>
      <c r="H97" s="19" t="s">
        <v>504</v>
      </c>
      <c r="I97" s="19" t="s">
        <v>502</v>
      </c>
      <c r="J97" s="19" t="s">
        <v>14</v>
      </c>
    </row>
    <row r="98" spans="1:10" ht="31.2" x14ac:dyDescent="0.3">
      <c r="A98" s="9"/>
      <c r="B98" s="19">
        <v>99</v>
      </c>
      <c r="C98" s="20"/>
      <c r="D98" s="19" t="s">
        <v>11</v>
      </c>
      <c r="E98" s="19"/>
      <c r="F98" s="17"/>
      <c r="G98" s="19" t="s">
        <v>505</v>
      </c>
      <c r="H98" s="19" t="s">
        <v>506</v>
      </c>
      <c r="I98" s="19" t="s">
        <v>502</v>
      </c>
      <c r="J98" s="19" t="s">
        <v>14</v>
      </c>
    </row>
    <row r="99" spans="1:10" ht="46.8" x14ac:dyDescent="0.3">
      <c r="A99" s="9"/>
      <c r="B99" s="19">
        <v>100</v>
      </c>
      <c r="C99" s="20"/>
      <c r="D99" s="19" t="s">
        <v>11</v>
      </c>
      <c r="E99" s="19"/>
      <c r="F99" s="17"/>
      <c r="G99" s="19" t="str">
        <f>"Panne "&amp;Applicatifs!$B$7&amp;" (PACS)"</f>
        <v>Panne PACS (PACS)</v>
      </c>
      <c r="H99" s="19" t="s">
        <v>507</v>
      </c>
      <c r="I99" s="19" t="s">
        <v>349</v>
      </c>
      <c r="J99" s="19" t="s">
        <v>14</v>
      </c>
    </row>
    <row r="100" spans="1:10" ht="46.8" x14ac:dyDescent="0.3">
      <c r="A100" s="9"/>
      <c r="B100" s="19">
        <v>101</v>
      </c>
      <c r="C100" s="20"/>
      <c r="D100" s="19" t="s">
        <v>11</v>
      </c>
      <c r="E100" s="19"/>
      <c r="F100" s="17"/>
      <c r="G100" s="19" t="str">
        <f>"Dysfonctionnement "&amp;Applicatifs!$B$17&amp;" (Gestion des salles de bloc)"</f>
        <v>Dysfonctionnement HM Bloc (Hopital Manager) (Gestion des salles de bloc)</v>
      </c>
      <c r="H100" s="19" t="str">
        <f>"Bonjour, le service des urgences nous a contacté, apparemment le logiciel "&amp;Applicatifs!$B$17&amp;" qui permet de gérer les salles de bloc ne fonctionne plus (expliquer pourquoi cela pose problème)."</f>
        <v>Bonjour, le service des urgences nous a contacté, apparemment le logiciel HM Bloc (Hopital Manager) qui permet de gérer les salles de bloc ne fonctionne plus (expliquer pourquoi cela pose problème).</v>
      </c>
      <c r="I100" s="19" t="s">
        <v>343</v>
      </c>
      <c r="J100" s="19" t="s">
        <v>14</v>
      </c>
    </row>
    <row r="101" spans="1:10" ht="62.4" x14ac:dyDescent="0.3">
      <c r="A101" s="9"/>
      <c r="B101" s="19">
        <v>102</v>
      </c>
      <c r="C101" s="20"/>
      <c r="D101" s="19" t="s">
        <v>11</v>
      </c>
      <c r="E101" s="19"/>
      <c r="F101" s="17"/>
      <c r="G101" s="19" t="s">
        <v>508</v>
      </c>
      <c r="H101" s="19" t="s">
        <v>509</v>
      </c>
      <c r="I101" s="19" t="s">
        <v>52</v>
      </c>
      <c r="J101" s="19" t="s">
        <v>14</v>
      </c>
    </row>
    <row r="102" spans="1:10" ht="62.4" x14ac:dyDescent="0.3">
      <c r="A102" s="9"/>
      <c r="B102" s="19">
        <v>103</v>
      </c>
      <c r="C102" s="20"/>
      <c r="D102" s="19" t="s">
        <v>11</v>
      </c>
      <c r="E102" s="19"/>
      <c r="F102" s="17"/>
      <c r="G102" s="19" t="s">
        <v>510</v>
      </c>
      <c r="H102" s="19" t="s">
        <v>511</v>
      </c>
      <c r="I102" s="19" t="s">
        <v>361</v>
      </c>
      <c r="J102" s="19" t="s">
        <v>14</v>
      </c>
    </row>
    <row r="103" spans="1:10" ht="62.4" x14ac:dyDescent="0.3">
      <c r="A103" s="9"/>
      <c r="B103" s="19">
        <v>104</v>
      </c>
      <c r="C103" s="20"/>
      <c r="D103" s="19" t="s">
        <v>11</v>
      </c>
      <c r="E103" s="19"/>
      <c r="F103" s="17"/>
      <c r="G103" s="19" t="s">
        <v>512</v>
      </c>
      <c r="H103" s="19" t="s">
        <v>513</v>
      </c>
      <c r="I103" s="19" t="s">
        <v>502</v>
      </c>
      <c r="J103" s="19" t="s">
        <v>14</v>
      </c>
    </row>
    <row r="104" spans="1:10" ht="31.2" x14ac:dyDescent="0.3">
      <c r="A104" s="9"/>
      <c r="B104" s="19">
        <v>105</v>
      </c>
      <c r="C104" s="20"/>
      <c r="D104" s="19" t="s">
        <v>11</v>
      </c>
      <c r="E104" s="19"/>
      <c r="F104" s="17"/>
      <c r="G104" s="19" t="s">
        <v>514</v>
      </c>
      <c r="H104" s="19" t="s">
        <v>515</v>
      </c>
      <c r="I104" s="19" t="s">
        <v>435</v>
      </c>
      <c r="J104" s="19" t="s">
        <v>14</v>
      </c>
    </row>
    <row r="105" spans="1:10" ht="46.8" x14ac:dyDescent="0.3">
      <c r="A105" s="9"/>
      <c r="B105" s="19">
        <v>107</v>
      </c>
      <c r="C105" s="20"/>
      <c r="D105" s="19" t="s">
        <v>11</v>
      </c>
      <c r="E105" s="19"/>
      <c r="F105" s="17"/>
      <c r="G105" s="19" t="s">
        <v>516</v>
      </c>
      <c r="H105" s="19" t="s">
        <v>517</v>
      </c>
      <c r="I105" s="19" t="s">
        <v>435</v>
      </c>
      <c r="J105" s="19" t="s">
        <v>14</v>
      </c>
    </row>
    <row r="106" spans="1:10" ht="78" x14ac:dyDescent="0.3">
      <c r="A106" s="9"/>
      <c r="B106" s="19">
        <v>108</v>
      </c>
      <c r="C106" s="20"/>
      <c r="D106" s="19" t="s">
        <v>11</v>
      </c>
      <c r="E106" s="19"/>
      <c r="F106" s="17"/>
      <c r="G106" s="19" t="s">
        <v>518</v>
      </c>
      <c r="H106" s="19" t="s">
        <v>519</v>
      </c>
      <c r="I106" s="19" t="s">
        <v>435</v>
      </c>
      <c r="J106" s="19" t="s">
        <v>14</v>
      </c>
    </row>
    <row r="107" spans="1:10" ht="31.2" x14ac:dyDescent="0.3">
      <c r="A107" s="9"/>
      <c r="B107" s="19">
        <v>109</v>
      </c>
      <c r="C107" s="20"/>
      <c r="D107" s="19" t="s">
        <v>11</v>
      </c>
      <c r="E107" s="19"/>
      <c r="F107" s="17"/>
      <c r="G107" s="19" t="s">
        <v>520</v>
      </c>
      <c r="H107" s="19" t="s">
        <v>362</v>
      </c>
      <c r="I107" s="19" t="s">
        <v>521</v>
      </c>
      <c r="J107" s="19" t="s">
        <v>14</v>
      </c>
    </row>
    <row r="108" spans="1:10" ht="93.6" x14ac:dyDescent="0.3">
      <c r="A108" s="9"/>
      <c r="B108" s="19">
        <v>110</v>
      </c>
      <c r="C108" s="20"/>
      <c r="D108" s="19" t="s">
        <v>11</v>
      </c>
      <c r="E108" s="19"/>
      <c r="F108" s="17"/>
      <c r="G108" s="19" t="s">
        <v>522</v>
      </c>
      <c r="H108" s="19" t="s">
        <v>523</v>
      </c>
      <c r="I108" s="19" t="s">
        <v>524</v>
      </c>
      <c r="J108" s="19" t="s">
        <v>14</v>
      </c>
    </row>
    <row r="109" spans="1:10" ht="31.2" x14ac:dyDescent="0.3">
      <c r="A109" s="9"/>
      <c r="B109" s="19">
        <v>111</v>
      </c>
      <c r="C109" s="20"/>
      <c r="D109" s="19" t="s">
        <v>11</v>
      </c>
      <c r="E109" s="19"/>
      <c r="F109" s="17"/>
      <c r="G109" s="19" t="s">
        <v>525</v>
      </c>
      <c r="H109" s="19" t="s">
        <v>526</v>
      </c>
      <c r="I109" s="19" t="s">
        <v>527</v>
      </c>
      <c r="J109" s="19" t="s">
        <v>14</v>
      </c>
    </row>
    <row r="110" spans="1:10" ht="46.8" x14ac:dyDescent="0.3">
      <c r="A110" s="9"/>
      <c r="B110" s="19">
        <v>112</v>
      </c>
      <c r="C110" s="20"/>
      <c r="D110" s="19" t="s">
        <v>11</v>
      </c>
      <c r="E110" s="19"/>
      <c r="F110" s="17"/>
      <c r="G110" s="19" t="s">
        <v>528</v>
      </c>
      <c r="H110" s="19" t="s">
        <v>529</v>
      </c>
      <c r="I110" s="19" t="s">
        <v>530</v>
      </c>
      <c r="J110" s="19" t="s">
        <v>14</v>
      </c>
    </row>
    <row r="111" spans="1:10" ht="31.2" x14ac:dyDescent="0.3">
      <c r="A111" s="9"/>
      <c r="B111" s="19">
        <v>113</v>
      </c>
      <c r="C111" s="20"/>
      <c r="D111" s="19" t="s">
        <v>11</v>
      </c>
      <c r="E111" s="19"/>
      <c r="F111" s="17"/>
      <c r="G111" s="19" t="s">
        <v>445</v>
      </c>
      <c r="H111" s="19" t="s">
        <v>531</v>
      </c>
      <c r="I111" s="19" t="s">
        <v>447</v>
      </c>
      <c r="J111" s="19" t="s">
        <v>14</v>
      </c>
    </row>
    <row r="112" spans="1:10" ht="31.2" x14ac:dyDescent="0.3">
      <c r="A112" s="9"/>
      <c r="B112" s="19">
        <v>114</v>
      </c>
      <c r="C112" s="20"/>
      <c r="D112" s="19" t="s">
        <v>11</v>
      </c>
      <c r="E112" s="19"/>
      <c r="F112" s="17"/>
      <c r="G112" s="19" t="s">
        <v>532</v>
      </c>
      <c r="H112" s="19" t="s">
        <v>533</v>
      </c>
      <c r="I112" s="19" t="s">
        <v>534</v>
      </c>
      <c r="J112" s="19" t="s">
        <v>14</v>
      </c>
    </row>
    <row r="113" spans="1:10" ht="31.2" x14ac:dyDescent="0.3">
      <c r="A113" s="9"/>
      <c r="B113" s="19">
        <v>115</v>
      </c>
      <c r="C113" s="20"/>
      <c r="D113" s="19" t="s">
        <v>11</v>
      </c>
      <c r="E113" s="19"/>
      <c r="F113" s="17"/>
      <c r="G113" s="19" t="s">
        <v>532</v>
      </c>
      <c r="H113" s="19" t="s">
        <v>535</v>
      </c>
      <c r="I113" s="19" t="s">
        <v>536</v>
      </c>
      <c r="J113" s="19" t="s">
        <v>14</v>
      </c>
    </row>
    <row r="114" spans="1:10" ht="62.4" x14ac:dyDescent="0.3">
      <c r="A114" s="9"/>
      <c r="B114" s="19">
        <v>116</v>
      </c>
      <c r="C114" s="20"/>
      <c r="D114" s="19" t="s">
        <v>11</v>
      </c>
      <c r="E114" s="19"/>
      <c r="F114" s="17"/>
      <c r="G114" s="19" t="s">
        <v>537</v>
      </c>
      <c r="H114" s="19" t="s">
        <v>538</v>
      </c>
      <c r="I114" s="19" t="s">
        <v>539</v>
      </c>
      <c r="J114" s="19" t="s">
        <v>14</v>
      </c>
    </row>
    <row r="115" spans="1:10" ht="46.8" x14ac:dyDescent="0.3">
      <c r="A115" s="9"/>
      <c r="B115" s="19">
        <v>117</v>
      </c>
      <c r="C115" s="20"/>
      <c r="D115" s="19" t="s">
        <v>11</v>
      </c>
      <c r="E115" s="19"/>
      <c r="F115" s="17"/>
      <c r="G115" s="19" t="s">
        <v>540</v>
      </c>
      <c r="H115" s="19" t="s">
        <v>541</v>
      </c>
      <c r="I115" s="19" t="s">
        <v>155</v>
      </c>
      <c r="J115" s="19" t="s">
        <v>14</v>
      </c>
    </row>
    <row r="116" spans="1:10" ht="46.8" x14ac:dyDescent="0.3">
      <c r="A116" s="9"/>
      <c r="B116" s="19">
        <v>118</v>
      </c>
      <c r="C116" s="20"/>
      <c r="D116" s="19" t="s">
        <v>11</v>
      </c>
      <c r="E116" s="19"/>
      <c r="F116" s="17"/>
      <c r="G116" s="19" t="s">
        <v>503</v>
      </c>
      <c r="H116" s="19" t="s">
        <v>542</v>
      </c>
      <c r="I116" s="19" t="s">
        <v>159</v>
      </c>
      <c r="J116" s="19" t="s">
        <v>14</v>
      </c>
    </row>
    <row r="117" spans="1:10" ht="15.6" x14ac:dyDescent="0.3">
      <c r="A117" s="9"/>
      <c r="B117" s="19">
        <v>119</v>
      </c>
      <c r="C117" s="20"/>
      <c r="D117" s="19" t="s">
        <v>11</v>
      </c>
      <c r="E117" s="19"/>
      <c r="F117" s="17"/>
      <c r="G117" s="19" t="s">
        <v>543</v>
      </c>
      <c r="H117" s="19" t="s">
        <v>544</v>
      </c>
      <c r="I117" s="19" t="s">
        <v>159</v>
      </c>
      <c r="J117" s="19" t="s">
        <v>14</v>
      </c>
    </row>
    <row r="118" spans="1:10" ht="31.2" x14ac:dyDescent="0.3">
      <c r="A118" s="9"/>
      <c r="B118" s="19">
        <v>120</v>
      </c>
      <c r="C118" s="20"/>
      <c r="D118" s="19" t="s">
        <v>11</v>
      </c>
      <c r="E118" s="19"/>
      <c r="F118" s="17"/>
      <c r="G118" s="19" t="s">
        <v>545</v>
      </c>
      <c r="H118" s="19" t="s">
        <v>546</v>
      </c>
      <c r="I118" s="19" t="s">
        <v>547</v>
      </c>
      <c r="J118" s="19" t="s">
        <v>14</v>
      </c>
    </row>
    <row r="119" spans="1:10" ht="31.2" x14ac:dyDescent="0.3">
      <c r="A119" s="9"/>
      <c r="B119" s="19">
        <v>121</v>
      </c>
      <c r="C119" s="20"/>
      <c r="D119" s="19" t="s">
        <v>11</v>
      </c>
      <c r="E119" s="19"/>
      <c r="F119" s="17"/>
      <c r="G119" s="19" t="s">
        <v>548</v>
      </c>
      <c r="H119" s="19" t="s">
        <v>504</v>
      </c>
      <c r="I119" s="19" t="s">
        <v>549</v>
      </c>
      <c r="J119" s="19" t="s">
        <v>14</v>
      </c>
    </row>
    <row r="120" spans="1:10" ht="62.4" x14ac:dyDescent="0.3">
      <c r="A120" s="9"/>
      <c r="B120" s="19">
        <v>122</v>
      </c>
      <c r="C120" s="20"/>
      <c r="D120" s="19" t="s">
        <v>11</v>
      </c>
      <c r="E120" s="19"/>
      <c r="F120" s="17"/>
      <c r="G120" s="19" t="s">
        <v>550</v>
      </c>
      <c r="H120" s="19" t="s">
        <v>551</v>
      </c>
      <c r="I120" s="19" t="s">
        <v>549</v>
      </c>
      <c r="J120" s="19" t="s">
        <v>14</v>
      </c>
    </row>
    <row r="121" spans="1:10" ht="93.6" x14ac:dyDescent="0.3">
      <c r="A121" s="9"/>
      <c r="B121" s="19">
        <v>123</v>
      </c>
      <c r="C121" s="20"/>
      <c r="D121" s="19" t="s">
        <v>11</v>
      </c>
      <c r="E121" s="19"/>
      <c r="F121" s="17"/>
      <c r="G121" s="19" t="s">
        <v>552</v>
      </c>
      <c r="H121" s="19" t="s">
        <v>553</v>
      </c>
      <c r="I121" s="19" t="s">
        <v>554</v>
      </c>
      <c r="J121" s="19" t="s">
        <v>14</v>
      </c>
    </row>
    <row r="122" spans="1:10" ht="46.8" x14ac:dyDescent="0.3">
      <c r="A122" s="9"/>
      <c r="B122" s="19">
        <v>124</v>
      </c>
      <c r="C122" s="20"/>
      <c r="D122" s="19" t="s">
        <v>11</v>
      </c>
      <c r="E122" s="19"/>
      <c r="F122" s="17"/>
      <c r="G122" s="19" t="s">
        <v>555</v>
      </c>
      <c r="H122" s="19" t="s">
        <v>504</v>
      </c>
      <c r="I122" s="19" t="s">
        <v>556</v>
      </c>
      <c r="J122" s="19" t="s">
        <v>14</v>
      </c>
    </row>
    <row r="123" spans="1:10" ht="62.4" x14ac:dyDescent="0.3">
      <c r="A123" s="9"/>
      <c r="B123" s="19">
        <v>125</v>
      </c>
      <c r="C123" s="20"/>
      <c r="D123" s="19" t="s">
        <v>11</v>
      </c>
      <c r="E123" s="19"/>
      <c r="F123" s="17"/>
      <c r="G123" s="19" t="s">
        <v>557</v>
      </c>
      <c r="H123" s="19" t="s">
        <v>551</v>
      </c>
      <c r="I123" s="19" t="s">
        <v>558</v>
      </c>
      <c r="J123" s="19" t="s">
        <v>14</v>
      </c>
    </row>
    <row r="124" spans="1:10" ht="62.4" x14ac:dyDescent="0.3">
      <c r="A124" s="9"/>
      <c r="B124" s="19">
        <v>126</v>
      </c>
      <c r="C124" s="20"/>
      <c r="D124" s="19" t="s">
        <v>11</v>
      </c>
      <c r="E124" s="19"/>
      <c r="F124" s="17"/>
      <c r="G124" s="19" t="s">
        <v>559</v>
      </c>
      <c r="H124" s="19" t="s">
        <v>560</v>
      </c>
      <c r="I124" s="19" t="s">
        <v>561</v>
      </c>
      <c r="J124" s="19" t="s">
        <v>14</v>
      </c>
    </row>
    <row r="125" spans="1:10" ht="31.2" x14ac:dyDescent="0.3">
      <c r="A125" s="9"/>
      <c r="B125" s="19">
        <v>127</v>
      </c>
      <c r="C125" s="20"/>
      <c r="D125" s="19" t="s">
        <v>11</v>
      </c>
      <c r="E125" s="19"/>
      <c r="F125" s="17"/>
      <c r="G125" s="19" t="str">
        <f>"Panne "&amp;Applicatifs!$B$11&amp;" (Transport des patients)"</f>
        <v>Panne Logiciel de transport des patients (Transport des patients)</v>
      </c>
      <c r="H125" s="19" t="s">
        <v>562</v>
      </c>
      <c r="I125" s="19" t="s">
        <v>561</v>
      </c>
      <c r="J125" s="19" t="s">
        <v>14</v>
      </c>
    </row>
    <row r="126" spans="1:10" ht="31.2" x14ac:dyDescent="0.3">
      <c r="A126" s="9"/>
      <c r="B126" s="19">
        <v>128</v>
      </c>
      <c r="C126" s="20"/>
      <c r="D126" s="19" t="s">
        <v>11</v>
      </c>
      <c r="E126" s="19"/>
      <c r="F126" s="17"/>
      <c r="G126" s="19" t="str">
        <f>"Panne "&amp;Applicatifs!$B$11&amp;" (Transport des patients)"</f>
        <v>Panne Logiciel de transport des patients (Transport des patients)</v>
      </c>
      <c r="H126" s="19" t="s">
        <v>563</v>
      </c>
      <c r="I126" s="19" t="s">
        <v>564</v>
      </c>
      <c r="J126" s="19" t="s">
        <v>14</v>
      </c>
    </row>
    <row r="127" spans="1:10" ht="46.8" x14ac:dyDescent="0.3">
      <c r="A127" s="9"/>
      <c r="B127" s="19">
        <v>129</v>
      </c>
      <c r="C127" s="20"/>
      <c r="D127" s="19" t="s">
        <v>11</v>
      </c>
      <c r="E127" s="19"/>
      <c r="F127" s="17"/>
      <c r="G127" s="19" t="s">
        <v>565</v>
      </c>
      <c r="H127" s="19" t="s">
        <v>566</v>
      </c>
      <c r="I127" s="19" t="s">
        <v>435</v>
      </c>
      <c r="J127" s="19" t="s">
        <v>14</v>
      </c>
    </row>
    <row r="128" spans="1:10" ht="78" x14ac:dyDescent="0.3">
      <c r="A128" s="9"/>
      <c r="B128" s="19">
        <v>130</v>
      </c>
      <c r="C128" s="20"/>
      <c r="D128" s="19" t="s">
        <v>11</v>
      </c>
      <c r="E128" s="19"/>
      <c r="F128" s="17"/>
      <c r="G128" s="19" t="s">
        <v>567</v>
      </c>
      <c r="H128" s="19" t="s">
        <v>568</v>
      </c>
      <c r="I128" s="19" t="s">
        <v>435</v>
      </c>
      <c r="J128" s="19" t="s">
        <v>14</v>
      </c>
    </row>
    <row r="129" spans="1:10" ht="78" x14ac:dyDescent="0.3">
      <c r="A129" s="9"/>
      <c r="B129" s="19">
        <v>131</v>
      </c>
      <c r="C129" s="20"/>
      <c r="D129" s="19" t="s">
        <v>11</v>
      </c>
      <c r="E129" s="19"/>
      <c r="F129" s="17"/>
      <c r="G129" s="19" t="s">
        <v>569</v>
      </c>
      <c r="H129" s="19" t="s">
        <v>570</v>
      </c>
      <c r="I129" s="19" t="s">
        <v>435</v>
      </c>
      <c r="J129" s="19" t="s">
        <v>14</v>
      </c>
    </row>
    <row r="130" spans="1:10" ht="62.4" x14ac:dyDescent="0.3">
      <c r="A130" s="9"/>
      <c r="B130" s="19">
        <v>132</v>
      </c>
      <c r="C130" s="20"/>
      <c r="D130" s="19" t="s">
        <v>11</v>
      </c>
      <c r="E130" s="19"/>
      <c r="F130" s="17"/>
      <c r="G130" s="19" t="s">
        <v>571</v>
      </c>
      <c r="H130" s="19" t="s">
        <v>572</v>
      </c>
      <c r="I130" s="19" t="s">
        <v>435</v>
      </c>
      <c r="J130" s="19" t="s">
        <v>14</v>
      </c>
    </row>
    <row r="131" spans="1:10" ht="15.6" x14ac:dyDescent="0.3">
      <c r="A131" s="9"/>
      <c r="B131" s="19">
        <v>133</v>
      </c>
      <c r="C131" s="20"/>
      <c r="D131" s="19" t="s">
        <v>11</v>
      </c>
      <c r="E131" s="19"/>
      <c r="F131" s="17"/>
      <c r="G131" s="19" t="s">
        <v>573</v>
      </c>
      <c r="H131" s="19" t="s">
        <v>574</v>
      </c>
      <c r="I131" s="19" t="s">
        <v>575</v>
      </c>
      <c r="J131" s="19" t="s">
        <v>14</v>
      </c>
    </row>
    <row r="132" spans="1:10" ht="46.8" x14ac:dyDescent="0.3">
      <c r="A132" s="9"/>
      <c r="B132" s="19">
        <v>134</v>
      </c>
      <c r="C132" s="20"/>
      <c r="D132" s="19" t="s">
        <v>11</v>
      </c>
      <c r="E132" s="19"/>
      <c r="F132" s="17"/>
      <c r="G132" s="19" t="s">
        <v>576</v>
      </c>
      <c r="H132" s="19" t="s">
        <v>577</v>
      </c>
      <c r="I132" s="19" t="s">
        <v>155</v>
      </c>
      <c r="J132" s="19" t="s">
        <v>14</v>
      </c>
    </row>
    <row r="133" spans="1:10" ht="46.8" x14ac:dyDescent="0.3">
      <c r="A133" s="9"/>
      <c r="B133" s="19">
        <v>135</v>
      </c>
      <c r="C133" s="20"/>
      <c r="D133" s="19" t="s">
        <v>11</v>
      </c>
      <c r="E133" s="19"/>
      <c r="F133" s="17"/>
      <c r="G133" s="19" t="s">
        <v>576</v>
      </c>
      <c r="H133" s="19" t="s">
        <v>577</v>
      </c>
      <c r="I133" s="19" t="s">
        <v>447</v>
      </c>
      <c r="J133" s="19" t="s">
        <v>14</v>
      </c>
    </row>
    <row r="134" spans="1:10" ht="31.2" x14ac:dyDescent="0.3">
      <c r="A134" s="9"/>
      <c r="B134" s="19">
        <v>136</v>
      </c>
      <c r="C134" s="20"/>
      <c r="D134" s="19" t="s">
        <v>11</v>
      </c>
      <c r="E134" s="19"/>
      <c r="F134" s="17"/>
      <c r="G134" s="19" t="s">
        <v>576</v>
      </c>
      <c r="H134" s="19" t="s">
        <v>578</v>
      </c>
      <c r="I134" s="19" t="s">
        <v>483</v>
      </c>
      <c r="J134" s="19" t="s">
        <v>14</v>
      </c>
    </row>
    <row r="135" spans="1:10" ht="46.8" x14ac:dyDescent="0.3">
      <c r="A135" s="9"/>
      <c r="B135" s="19">
        <v>137</v>
      </c>
      <c r="C135" s="20"/>
      <c r="D135" s="19" t="s">
        <v>11</v>
      </c>
      <c r="E135" s="19"/>
      <c r="F135" s="17"/>
      <c r="G135" s="19" t="s">
        <v>576</v>
      </c>
      <c r="H135" s="19" t="s">
        <v>577</v>
      </c>
      <c r="I135" s="19" t="s">
        <v>579</v>
      </c>
      <c r="J135" s="19" t="s">
        <v>14</v>
      </c>
    </row>
    <row r="136" spans="1:10" ht="46.8" x14ac:dyDescent="0.3">
      <c r="A136" s="9"/>
      <c r="B136" s="19">
        <v>138</v>
      </c>
      <c r="C136" s="20"/>
      <c r="D136" s="19" t="s">
        <v>11</v>
      </c>
      <c r="E136" s="19"/>
      <c r="F136" s="17"/>
      <c r="G136" s="19" t="s">
        <v>576</v>
      </c>
      <c r="H136" s="19" t="s">
        <v>577</v>
      </c>
      <c r="I136" s="19" t="s">
        <v>580</v>
      </c>
      <c r="J136" s="19" t="s">
        <v>14</v>
      </c>
    </row>
    <row r="137" spans="1:10" ht="46.8" x14ac:dyDescent="0.3">
      <c r="A137" s="9"/>
      <c r="B137" s="19">
        <v>139</v>
      </c>
      <c r="C137" s="20"/>
      <c r="D137" s="19" t="s">
        <v>11</v>
      </c>
      <c r="E137" s="19"/>
      <c r="F137" s="17"/>
      <c r="G137" s="19" t="s">
        <v>581</v>
      </c>
      <c r="H137" s="19" t="s">
        <v>581</v>
      </c>
      <c r="I137" s="19" t="s">
        <v>582</v>
      </c>
      <c r="J137" s="19" t="s">
        <v>14</v>
      </c>
    </row>
    <row r="138" spans="1:10" ht="31.2" x14ac:dyDescent="0.3">
      <c r="A138" s="9"/>
      <c r="B138" s="19">
        <v>140</v>
      </c>
      <c r="C138" s="20"/>
      <c r="D138" s="19" t="s">
        <v>11</v>
      </c>
      <c r="E138" s="19"/>
      <c r="F138" s="17"/>
      <c r="G138" s="19" t="s">
        <v>583</v>
      </c>
      <c r="H138" s="19" t="s">
        <v>504</v>
      </c>
      <c r="I138" s="19" t="s">
        <v>579</v>
      </c>
      <c r="J138" s="19" t="s">
        <v>14</v>
      </c>
    </row>
    <row r="139" spans="1:10" ht="46.8" x14ac:dyDescent="0.3">
      <c r="A139" s="9"/>
      <c r="B139" s="19">
        <v>141</v>
      </c>
      <c r="C139" s="20"/>
      <c r="D139" s="19" t="s">
        <v>11</v>
      </c>
      <c r="E139" s="19"/>
      <c r="F139" s="17"/>
      <c r="G139" s="19" t="s">
        <v>584</v>
      </c>
      <c r="H139" s="19" t="s">
        <v>585</v>
      </c>
      <c r="I139" s="19" t="s">
        <v>420</v>
      </c>
      <c r="J139" s="19" t="s">
        <v>14</v>
      </c>
    </row>
    <row r="140" spans="1:10" ht="46.8" x14ac:dyDescent="0.3">
      <c r="A140" s="9"/>
      <c r="B140" s="19">
        <v>142</v>
      </c>
      <c r="C140" s="20"/>
      <c r="D140" s="19" t="s">
        <v>11</v>
      </c>
      <c r="E140" s="19"/>
      <c r="F140" s="17"/>
      <c r="G140" s="19" t="s">
        <v>586</v>
      </c>
      <c r="H140" s="19" t="s">
        <v>585</v>
      </c>
      <c r="I140" s="19" t="s">
        <v>587</v>
      </c>
      <c r="J140" s="19" t="s">
        <v>14</v>
      </c>
    </row>
    <row r="141" spans="1:10" ht="46.8" x14ac:dyDescent="0.3">
      <c r="A141" s="9"/>
      <c r="B141" s="19">
        <v>143</v>
      </c>
      <c r="C141" s="20"/>
      <c r="D141" s="19" t="s">
        <v>11</v>
      </c>
      <c r="E141" s="19"/>
      <c r="F141" s="17"/>
      <c r="G141" s="19" t="s">
        <v>588</v>
      </c>
      <c r="H141" s="19" t="s">
        <v>589</v>
      </c>
      <c r="I141" s="19" t="s">
        <v>549</v>
      </c>
      <c r="J141" s="19" t="s">
        <v>14</v>
      </c>
    </row>
    <row r="142" spans="1:10" ht="31.2" x14ac:dyDescent="0.3">
      <c r="A142" s="9"/>
      <c r="B142" s="19">
        <v>144</v>
      </c>
      <c r="C142" s="20"/>
      <c r="D142" s="19" t="s">
        <v>11</v>
      </c>
      <c r="E142" s="19"/>
      <c r="F142" s="17"/>
      <c r="G142" s="19" t="s">
        <v>503</v>
      </c>
      <c r="H142" s="19" t="s">
        <v>504</v>
      </c>
      <c r="I142" s="19" t="s">
        <v>590</v>
      </c>
      <c r="J142" s="19" t="s">
        <v>14</v>
      </c>
    </row>
    <row r="143" spans="1:10" ht="31.2" x14ac:dyDescent="0.3">
      <c r="A143" s="9"/>
      <c r="B143" s="19">
        <v>145</v>
      </c>
      <c r="C143" s="20"/>
      <c r="D143" s="19" t="s">
        <v>11</v>
      </c>
      <c r="E143" s="19"/>
      <c r="F143" s="17"/>
      <c r="G143" s="19" t="s">
        <v>591</v>
      </c>
      <c r="H143" s="19" t="s">
        <v>504</v>
      </c>
      <c r="I143" s="19" t="s">
        <v>592</v>
      </c>
      <c r="J143" s="19" t="s">
        <v>14</v>
      </c>
    </row>
    <row r="144" spans="1:10" ht="46.8" x14ac:dyDescent="0.3">
      <c r="A144" s="9"/>
      <c r="B144" s="19">
        <v>146</v>
      </c>
      <c r="C144" s="20"/>
      <c r="D144" s="19" t="s">
        <v>11</v>
      </c>
      <c r="E144" s="19"/>
      <c r="F144" s="17"/>
      <c r="G144" s="19" t="s">
        <v>593</v>
      </c>
      <c r="H144" s="19" t="s">
        <v>419</v>
      </c>
      <c r="I144" s="19" t="s">
        <v>420</v>
      </c>
      <c r="J144" s="19" t="s">
        <v>14</v>
      </c>
    </row>
    <row r="145" spans="1:10" ht="93.6" x14ac:dyDescent="0.3">
      <c r="A145" s="9"/>
      <c r="B145" s="19">
        <v>147</v>
      </c>
      <c r="C145" s="20"/>
      <c r="D145" s="19" t="s">
        <v>11</v>
      </c>
      <c r="E145" s="19"/>
      <c r="F145" s="17"/>
      <c r="G145" s="19" t="s">
        <v>594</v>
      </c>
      <c r="H145" s="19" t="s">
        <v>595</v>
      </c>
      <c r="I145" s="19" t="s">
        <v>596</v>
      </c>
      <c r="J145" s="19" t="s">
        <v>14</v>
      </c>
    </row>
    <row r="146" spans="1:10" ht="46.8" x14ac:dyDescent="0.3">
      <c r="A146" s="9"/>
      <c r="B146" s="19">
        <v>148</v>
      </c>
      <c r="C146" s="20"/>
      <c r="D146" s="19" t="s">
        <v>11</v>
      </c>
      <c r="E146" s="19"/>
      <c r="F146" s="17"/>
      <c r="G146" s="19" t="s">
        <v>597</v>
      </c>
      <c r="H146" s="19" t="s">
        <v>598</v>
      </c>
      <c r="I146" s="19" t="s">
        <v>420</v>
      </c>
      <c r="J146" s="19" t="s">
        <v>14</v>
      </c>
    </row>
    <row r="147" spans="1:10" ht="62.4" x14ac:dyDescent="0.3">
      <c r="A147" s="9"/>
      <c r="B147" s="19">
        <v>149</v>
      </c>
      <c r="C147" s="20"/>
      <c r="D147" s="19" t="s">
        <v>11</v>
      </c>
      <c r="E147" s="19"/>
      <c r="F147" s="17"/>
      <c r="G147" s="19" t="s">
        <v>599</v>
      </c>
      <c r="H147" s="19" t="s">
        <v>600</v>
      </c>
      <c r="I147" s="19" t="s">
        <v>601</v>
      </c>
      <c r="J147" s="19" t="s">
        <v>14</v>
      </c>
    </row>
    <row r="148" spans="1:10" ht="46.8" x14ac:dyDescent="0.3">
      <c r="A148" s="9"/>
      <c r="B148" s="19">
        <v>150</v>
      </c>
      <c r="C148" s="20"/>
      <c r="D148" s="19" t="s">
        <v>11</v>
      </c>
      <c r="E148" s="19"/>
      <c r="F148" s="17"/>
      <c r="G148" s="19" t="s">
        <v>602</v>
      </c>
      <c r="H148" s="19" t="s">
        <v>603</v>
      </c>
      <c r="I148" s="19" t="s">
        <v>604</v>
      </c>
      <c r="J148" s="19" t="s">
        <v>14</v>
      </c>
    </row>
    <row r="149" spans="1:10" ht="46.8" x14ac:dyDescent="0.3">
      <c r="A149" s="9"/>
      <c r="B149" s="19">
        <v>151</v>
      </c>
      <c r="C149" s="20"/>
      <c r="D149" s="19" t="s">
        <v>11</v>
      </c>
      <c r="E149" s="19"/>
      <c r="F149" s="17"/>
      <c r="G149" s="19" t="s">
        <v>605</v>
      </c>
      <c r="H149" s="19" t="s">
        <v>603</v>
      </c>
      <c r="I149" s="19" t="s">
        <v>606</v>
      </c>
      <c r="J149" s="19" t="s">
        <v>14</v>
      </c>
    </row>
    <row r="150" spans="1:10" ht="124.8" x14ac:dyDescent="0.3">
      <c r="A150" s="9"/>
      <c r="B150" s="19">
        <v>152</v>
      </c>
      <c r="C150" s="20"/>
      <c r="D150" s="19" t="s">
        <v>11</v>
      </c>
      <c r="E150" s="19"/>
      <c r="F150" s="17"/>
      <c r="G150" s="19" t="s">
        <v>607</v>
      </c>
      <c r="H150" s="19" t="s">
        <v>608</v>
      </c>
      <c r="I150" s="19" t="s">
        <v>350</v>
      </c>
      <c r="J150" s="19" t="s">
        <v>14</v>
      </c>
    </row>
    <row r="151" spans="1:10" ht="62.4" x14ac:dyDescent="0.3">
      <c r="A151" s="9"/>
      <c r="B151" s="19">
        <v>153</v>
      </c>
      <c r="C151" s="20"/>
      <c r="D151" s="19" t="s">
        <v>11</v>
      </c>
      <c r="E151" s="19"/>
      <c r="F151" s="17"/>
      <c r="G151" s="19" t="s">
        <v>609</v>
      </c>
      <c r="H151" s="19" t="s">
        <v>610</v>
      </c>
      <c r="I151" s="19" t="s">
        <v>350</v>
      </c>
      <c r="J151" s="19" t="s">
        <v>14</v>
      </c>
    </row>
    <row r="152" spans="1:10" ht="62.4" x14ac:dyDescent="0.3">
      <c r="A152" s="9"/>
      <c r="B152" s="19">
        <v>154</v>
      </c>
      <c r="C152" s="20"/>
      <c r="D152" s="19" t="s">
        <v>11</v>
      </c>
      <c r="E152" s="19"/>
      <c r="F152" s="17"/>
      <c r="G152" s="19" t="s">
        <v>611</v>
      </c>
      <c r="H152" s="19" t="s">
        <v>612</v>
      </c>
      <c r="I152" s="19" t="s">
        <v>347</v>
      </c>
      <c r="J152" s="19" t="s">
        <v>14</v>
      </c>
    </row>
    <row r="153" spans="1:10" ht="46.8" x14ac:dyDescent="0.3">
      <c r="A153" s="9"/>
      <c r="B153" s="19">
        <v>155</v>
      </c>
      <c r="C153" s="20"/>
      <c r="D153" s="19" t="s">
        <v>11</v>
      </c>
      <c r="E153" s="19"/>
      <c r="F153" s="17"/>
      <c r="G153" s="19" t="s">
        <v>613</v>
      </c>
      <c r="H153" s="19" t="s">
        <v>614</v>
      </c>
      <c r="I153" s="19" t="s">
        <v>432</v>
      </c>
      <c r="J153" s="19" t="s">
        <v>14</v>
      </c>
    </row>
    <row r="154" spans="1:10" ht="46.8" x14ac:dyDescent="0.3">
      <c r="A154" s="9"/>
      <c r="B154" s="19">
        <v>156</v>
      </c>
      <c r="C154" s="20"/>
      <c r="D154" s="19" t="s">
        <v>11</v>
      </c>
      <c r="E154" s="19"/>
      <c r="F154" s="17"/>
      <c r="G154" s="19" t="s">
        <v>615</v>
      </c>
      <c r="H154" s="19" t="s">
        <v>616</v>
      </c>
      <c r="I154" s="19" t="s">
        <v>350</v>
      </c>
      <c r="J154" s="19" t="s">
        <v>14</v>
      </c>
    </row>
    <row r="155" spans="1:10" ht="31.2" x14ac:dyDescent="0.3">
      <c r="A155" s="9"/>
      <c r="B155" s="19">
        <v>157</v>
      </c>
      <c r="C155" s="20"/>
      <c r="D155" s="19" t="s">
        <v>11</v>
      </c>
      <c r="E155" s="19"/>
      <c r="F155" s="17"/>
      <c r="G155" s="19" t="s">
        <v>617</v>
      </c>
      <c r="H155" s="19" t="s">
        <v>618</v>
      </c>
      <c r="I155" s="19" t="s">
        <v>159</v>
      </c>
      <c r="J155" s="19" t="s">
        <v>14</v>
      </c>
    </row>
    <row r="156" spans="1:10" ht="31.2" x14ac:dyDescent="0.3">
      <c r="A156" s="9"/>
      <c r="B156" s="19">
        <v>158</v>
      </c>
      <c r="C156" s="20"/>
      <c r="D156" s="19" t="s">
        <v>11</v>
      </c>
      <c r="E156" s="19"/>
      <c r="F156" s="17"/>
      <c r="G156" s="19" t="s">
        <v>619</v>
      </c>
      <c r="H156" s="19" t="s">
        <v>620</v>
      </c>
      <c r="I156" s="19" t="s">
        <v>159</v>
      </c>
      <c r="J156" s="19" t="s">
        <v>14</v>
      </c>
    </row>
    <row r="157" spans="1:10" ht="31.2" x14ac:dyDescent="0.3">
      <c r="A157" s="9"/>
      <c r="B157" s="19">
        <v>159</v>
      </c>
      <c r="C157" s="20"/>
      <c r="D157" s="19" t="s">
        <v>11</v>
      </c>
      <c r="E157" s="19"/>
      <c r="F157" s="17"/>
      <c r="G157" s="19" t="s">
        <v>621</v>
      </c>
      <c r="H157" s="19" t="s">
        <v>622</v>
      </c>
      <c r="I157" s="19" t="s">
        <v>159</v>
      </c>
      <c r="J157" s="19" t="s">
        <v>14</v>
      </c>
    </row>
    <row r="158" spans="1:10" ht="62.4" x14ac:dyDescent="0.3">
      <c r="A158" s="9"/>
      <c r="B158" s="19">
        <v>160</v>
      </c>
      <c r="C158" s="20"/>
      <c r="D158" s="19" t="s">
        <v>11</v>
      </c>
      <c r="E158" s="19"/>
      <c r="F158" s="17"/>
      <c r="G158" s="19" t="s">
        <v>623</v>
      </c>
      <c r="H158" s="19" t="s">
        <v>362</v>
      </c>
      <c r="I158" s="19" t="s">
        <v>624</v>
      </c>
      <c r="J158" s="19" t="s">
        <v>14</v>
      </c>
    </row>
    <row r="159" spans="1:10" ht="62.4" x14ac:dyDescent="0.3">
      <c r="A159" s="9"/>
      <c r="B159" s="19">
        <v>161</v>
      </c>
      <c r="C159" s="20"/>
      <c r="D159" s="19" t="s">
        <v>11</v>
      </c>
      <c r="E159" s="19"/>
      <c r="F159" s="17"/>
      <c r="G159" s="19" t="s">
        <v>625</v>
      </c>
      <c r="H159" s="19" t="s">
        <v>622</v>
      </c>
      <c r="I159" s="19" t="s">
        <v>626</v>
      </c>
      <c r="J159" s="19" t="s">
        <v>14</v>
      </c>
    </row>
    <row r="160" spans="1:10" ht="46.8" x14ac:dyDescent="0.3">
      <c r="A160" s="9"/>
      <c r="B160" s="19">
        <v>162</v>
      </c>
      <c r="C160" s="20"/>
      <c r="D160" s="19" t="s">
        <v>11</v>
      </c>
      <c r="E160" s="19"/>
      <c r="F160" s="17"/>
      <c r="G160" s="19" t="s">
        <v>627</v>
      </c>
      <c r="H160" s="19" t="s">
        <v>622</v>
      </c>
      <c r="I160" s="19" t="s">
        <v>628</v>
      </c>
      <c r="J160" s="19" t="s">
        <v>14</v>
      </c>
    </row>
    <row r="161" spans="1:10" ht="62.4" x14ac:dyDescent="0.3">
      <c r="A161" s="9"/>
      <c r="B161" s="19">
        <v>163</v>
      </c>
      <c r="C161" s="20"/>
      <c r="D161" s="19" t="s">
        <v>11</v>
      </c>
      <c r="E161" s="19"/>
      <c r="F161" s="17"/>
      <c r="G161" s="19" t="s">
        <v>629</v>
      </c>
      <c r="H161" s="19" t="str">
        <f>Applicatifs!$C$24</f>
        <v>Bonjour, les badges ne fonctionnent plus, on ne peut plus ouvrir les portes des bâtiments, les équipes ne peuvent plus entrer dans les batîments. Il y a aussi des portes qui ne se verrouillent plus et des patients qui circulent librement. Il faut trouver une solution rapidement !</v>
      </c>
      <c r="I161" s="19" t="s">
        <v>350</v>
      </c>
      <c r="J161" s="19" t="s">
        <v>14</v>
      </c>
    </row>
    <row r="162" spans="1:10" ht="31.2" x14ac:dyDescent="0.3">
      <c r="A162" s="9"/>
      <c r="B162" s="19">
        <v>164</v>
      </c>
      <c r="C162" s="20"/>
      <c r="D162" s="19" t="s">
        <v>11</v>
      </c>
      <c r="E162" s="19"/>
      <c r="F162" s="17"/>
      <c r="G162" s="19" t="s">
        <v>630</v>
      </c>
      <c r="H162" s="19" t="str">
        <f>Applicatifs!$C$25</f>
        <v>Bonjour, sans téléphonie IP nous sommes sollicités car personne ne sait comment se joindre. C'est la panique partout là !</v>
      </c>
      <c r="I162" s="19" t="s">
        <v>368</v>
      </c>
      <c r="J162" s="19" t="s">
        <v>14</v>
      </c>
    </row>
    <row r="163" spans="1:10" ht="31.2" x14ac:dyDescent="0.3">
      <c r="A163" s="9"/>
      <c r="B163" s="19">
        <v>165</v>
      </c>
      <c r="C163" s="20"/>
      <c r="D163" s="19" t="s">
        <v>11</v>
      </c>
      <c r="E163" s="19"/>
      <c r="F163" s="17"/>
      <c r="G163" s="19" t="s">
        <v>630</v>
      </c>
      <c r="H163" s="19" t="s">
        <v>631</v>
      </c>
      <c r="I163" s="19" t="s">
        <v>350</v>
      </c>
      <c r="J163" s="19" t="s">
        <v>14</v>
      </c>
    </row>
    <row r="164" spans="1:10" ht="93.6" x14ac:dyDescent="0.3">
      <c r="A164" s="9"/>
      <c r="B164" s="19">
        <v>166</v>
      </c>
      <c r="C164" s="20"/>
      <c r="D164" s="19" t="s">
        <v>11</v>
      </c>
      <c r="E164" s="19"/>
      <c r="F164" s="17"/>
      <c r="G164" s="19" t="s">
        <v>632</v>
      </c>
      <c r="H164" s="19" t="s">
        <v>603</v>
      </c>
      <c r="I164" s="19" t="s">
        <v>633</v>
      </c>
      <c r="J164" s="19" t="s">
        <v>14</v>
      </c>
    </row>
    <row r="165" spans="1:10" ht="62.4" x14ac:dyDescent="0.3">
      <c r="A165" s="9"/>
      <c r="B165" s="19">
        <v>167</v>
      </c>
      <c r="C165" s="20"/>
      <c r="D165" s="19" t="s">
        <v>11</v>
      </c>
      <c r="E165" s="19"/>
      <c r="F165" s="17"/>
      <c r="G165" s="19" t="s">
        <v>634</v>
      </c>
      <c r="H165" s="19" t="s">
        <v>603</v>
      </c>
      <c r="I165" s="19" t="s">
        <v>635</v>
      </c>
      <c r="J165" s="19" t="s">
        <v>14</v>
      </c>
    </row>
    <row r="166" spans="1:10" ht="62.4" x14ac:dyDescent="0.3">
      <c r="A166" s="9"/>
      <c r="B166" s="19">
        <v>168</v>
      </c>
      <c r="C166" s="20"/>
      <c r="D166" s="19" t="s">
        <v>11</v>
      </c>
      <c r="E166" s="19"/>
      <c r="F166" s="17"/>
      <c r="G166" s="19" t="s">
        <v>636</v>
      </c>
      <c r="H166" s="19" t="s">
        <v>603</v>
      </c>
      <c r="I166" s="19" t="s">
        <v>637</v>
      </c>
      <c r="J166" s="19" t="s">
        <v>14</v>
      </c>
    </row>
    <row r="167" spans="1:10" ht="46.8" x14ac:dyDescent="0.3">
      <c r="A167" s="9"/>
      <c r="B167" s="19">
        <v>169</v>
      </c>
      <c r="C167" s="20"/>
      <c r="D167" s="19" t="s">
        <v>11</v>
      </c>
      <c r="E167" s="19"/>
      <c r="F167" s="17"/>
      <c r="G167" s="19" t="s">
        <v>638</v>
      </c>
      <c r="H167" s="19" t="s">
        <v>639</v>
      </c>
      <c r="I167" s="19" t="s">
        <v>420</v>
      </c>
      <c r="J167" s="19" t="s">
        <v>14</v>
      </c>
    </row>
    <row r="168" spans="1:10" ht="31.2" x14ac:dyDescent="0.3">
      <c r="A168" s="9"/>
      <c r="B168" s="19">
        <v>170</v>
      </c>
      <c r="C168" s="20"/>
      <c r="D168" s="19" t="s">
        <v>11</v>
      </c>
      <c r="E168" s="19"/>
      <c r="F168" s="17"/>
      <c r="G168" s="19" t="s">
        <v>640</v>
      </c>
      <c r="H168" s="19" t="s">
        <v>641</v>
      </c>
      <c r="I168" s="19" t="s">
        <v>554</v>
      </c>
      <c r="J168" s="19" t="s">
        <v>14</v>
      </c>
    </row>
    <row r="169" spans="1:10" ht="46.8" x14ac:dyDescent="0.3">
      <c r="A169" s="9"/>
      <c r="B169" s="19">
        <v>172</v>
      </c>
      <c r="C169" s="20"/>
      <c r="D169" s="19" t="s">
        <v>11</v>
      </c>
      <c r="E169" s="19"/>
      <c r="F169" s="17"/>
      <c r="G169" s="19" t="s">
        <v>642</v>
      </c>
      <c r="H169" s="19" t="s">
        <v>643</v>
      </c>
      <c r="I169" s="19" t="s">
        <v>420</v>
      </c>
      <c r="J169" s="19" t="s">
        <v>14</v>
      </c>
    </row>
    <row r="170" spans="1:10" ht="46.8" x14ac:dyDescent="0.3">
      <c r="A170" s="9"/>
      <c r="B170" s="19">
        <v>173</v>
      </c>
      <c r="C170" s="20"/>
      <c r="D170" s="19" t="s">
        <v>11</v>
      </c>
      <c r="E170" s="19"/>
      <c r="F170" s="17"/>
      <c r="G170" s="19" t="s">
        <v>644</v>
      </c>
      <c r="H170" s="19" t="s">
        <v>645</v>
      </c>
      <c r="I170" s="19" t="s">
        <v>646</v>
      </c>
      <c r="J170" s="19" t="s">
        <v>14</v>
      </c>
    </row>
    <row r="171" spans="1:10" ht="31.2" x14ac:dyDescent="0.3">
      <c r="A171" s="9"/>
      <c r="B171" s="19">
        <v>174</v>
      </c>
      <c r="C171" s="20"/>
      <c r="D171" s="19" t="s">
        <v>11</v>
      </c>
      <c r="E171" s="19"/>
      <c r="F171" s="17"/>
      <c r="G171" s="19" t="s">
        <v>647</v>
      </c>
      <c r="H171" s="19" t="s">
        <v>648</v>
      </c>
      <c r="I171" s="19" t="s">
        <v>649</v>
      </c>
      <c r="J171" s="19" t="s">
        <v>14</v>
      </c>
    </row>
    <row r="172" spans="1:10" ht="46.8" x14ac:dyDescent="0.3">
      <c r="A172" s="9"/>
      <c r="B172" s="19">
        <v>175</v>
      </c>
      <c r="C172" s="20"/>
      <c r="D172" s="19" t="s">
        <v>11</v>
      </c>
      <c r="E172" s="19"/>
      <c r="F172" s="17"/>
      <c r="G172" s="19" t="s">
        <v>650</v>
      </c>
      <c r="H172" s="19" t="s">
        <v>651</v>
      </c>
      <c r="I172" s="19" t="s">
        <v>159</v>
      </c>
      <c r="J172" s="19" t="s">
        <v>14</v>
      </c>
    </row>
    <row r="173" spans="1:10" ht="31.2" x14ac:dyDescent="0.3">
      <c r="A173" s="9"/>
      <c r="B173" s="19">
        <v>176</v>
      </c>
      <c r="C173" s="20"/>
      <c r="D173" s="19" t="s">
        <v>11</v>
      </c>
      <c r="E173" s="19"/>
      <c r="F173" s="17"/>
      <c r="G173" s="19" t="s">
        <v>652</v>
      </c>
      <c r="H173" s="19" t="s">
        <v>653</v>
      </c>
      <c r="I173" s="19" t="s">
        <v>654</v>
      </c>
      <c r="J173" s="19" t="s">
        <v>14</v>
      </c>
    </row>
    <row r="174" spans="1:10" ht="46.8" x14ac:dyDescent="0.3">
      <c r="A174" s="9"/>
      <c r="B174" s="19">
        <v>177</v>
      </c>
      <c r="C174" s="20"/>
      <c r="D174" s="19" t="s">
        <v>11</v>
      </c>
      <c r="E174" s="19"/>
      <c r="F174" s="17"/>
      <c r="G174" s="19" t="s">
        <v>655</v>
      </c>
      <c r="H174" s="19" t="s">
        <v>656</v>
      </c>
      <c r="I174" s="19" t="s">
        <v>549</v>
      </c>
      <c r="J174" s="19" t="s">
        <v>14</v>
      </c>
    </row>
    <row r="175" spans="1:10" ht="93.6" x14ac:dyDescent="0.3">
      <c r="A175" s="9"/>
      <c r="B175" s="19">
        <v>178</v>
      </c>
      <c r="C175" s="20"/>
      <c r="D175" s="19" t="s">
        <v>11</v>
      </c>
      <c r="E175" s="19"/>
      <c r="F175" s="17"/>
      <c r="G175" s="19" t="s">
        <v>657</v>
      </c>
      <c r="H175" s="19" t="s">
        <v>658</v>
      </c>
      <c r="I175" s="19" t="s">
        <v>654</v>
      </c>
      <c r="J175" s="19" t="s">
        <v>14</v>
      </c>
    </row>
    <row r="176" spans="1:10" ht="75.75" customHeight="1" x14ac:dyDescent="0.3">
      <c r="A176" s="9"/>
      <c r="B176" s="19">
        <v>179</v>
      </c>
      <c r="C176" s="20"/>
      <c r="D176" s="19" t="s">
        <v>11</v>
      </c>
      <c r="E176" s="19"/>
      <c r="F176" s="17"/>
      <c r="G176" s="19" t="s">
        <v>659</v>
      </c>
      <c r="H176" s="19" t="s">
        <v>660</v>
      </c>
      <c r="I176" s="19" t="s">
        <v>661</v>
      </c>
      <c r="J176" s="19" t="s">
        <v>14</v>
      </c>
    </row>
    <row r="177" spans="1:10" ht="78" x14ac:dyDescent="0.3">
      <c r="A177" s="9"/>
      <c r="B177" s="19">
        <v>180</v>
      </c>
      <c r="C177" s="20"/>
      <c r="D177" s="19" t="s">
        <v>11</v>
      </c>
      <c r="E177" s="19"/>
      <c r="F177" s="17"/>
      <c r="G177" s="19" t="s">
        <v>662</v>
      </c>
      <c r="H177" s="19" t="s">
        <v>663</v>
      </c>
      <c r="I177" s="19" t="s">
        <v>664</v>
      </c>
      <c r="J177" s="19" t="s">
        <v>14</v>
      </c>
    </row>
    <row r="178" spans="1:10" ht="62.4" x14ac:dyDescent="0.3">
      <c r="A178" s="9"/>
      <c r="B178" s="19">
        <v>181</v>
      </c>
      <c r="C178" s="20"/>
      <c r="D178" s="19" t="s">
        <v>11</v>
      </c>
      <c r="E178" s="19"/>
      <c r="F178" s="17"/>
      <c r="G178" s="19" t="s">
        <v>665</v>
      </c>
      <c r="H178" s="19" t="s">
        <v>666</v>
      </c>
      <c r="I178" s="19" t="s">
        <v>667</v>
      </c>
      <c r="J178" s="19" t="s">
        <v>14</v>
      </c>
    </row>
    <row r="179" spans="1:10" ht="62.4" x14ac:dyDescent="0.3">
      <c r="A179" s="9"/>
      <c r="B179" s="19">
        <v>182</v>
      </c>
      <c r="C179" s="20"/>
      <c r="D179" s="19" t="s">
        <v>11</v>
      </c>
      <c r="E179" s="19"/>
      <c r="F179" s="17"/>
      <c r="G179" s="19" t="s">
        <v>665</v>
      </c>
      <c r="H179" s="19" t="s">
        <v>668</v>
      </c>
      <c r="I179" s="19" t="s">
        <v>669</v>
      </c>
      <c r="J179" s="19" t="s">
        <v>14</v>
      </c>
    </row>
    <row r="180" spans="1:10" ht="15.6" x14ac:dyDescent="0.3">
      <c r="A180" s="9"/>
      <c r="B180" s="19">
        <v>183</v>
      </c>
      <c r="C180" s="20"/>
      <c r="D180" s="19" t="s">
        <v>11</v>
      </c>
      <c r="E180" s="19"/>
      <c r="F180" s="17"/>
      <c r="G180" s="19" t="s">
        <v>670</v>
      </c>
      <c r="H180" s="19" t="s">
        <v>197</v>
      </c>
      <c r="I180" s="19" t="s">
        <v>155</v>
      </c>
      <c r="J180" s="19" t="s">
        <v>14</v>
      </c>
    </row>
    <row r="181" spans="1:10" ht="46.8" x14ac:dyDescent="0.3">
      <c r="A181" s="9"/>
      <c r="B181" s="19">
        <v>184</v>
      </c>
      <c r="C181" s="20"/>
      <c r="D181" s="19" t="s">
        <v>11</v>
      </c>
      <c r="E181" s="19"/>
      <c r="F181" s="17"/>
      <c r="G181" s="19" t="s">
        <v>671</v>
      </c>
      <c r="H181" s="19" t="s">
        <v>672</v>
      </c>
      <c r="I181" s="19" t="s">
        <v>673</v>
      </c>
      <c r="J181" s="19" t="s">
        <v>14</v>
      </c>
    </row>
    <row r="182" spans="1:10" ht="31.2" x14ac:dyDescent="0.3">
      <c r="A182" s="9"/>
      <c r="B182" s="19">
        <v>185</v>
      </c>
      <c r="C182" s="20"/>
      <c r="D182" s="19" t="s">
        <v>11</v>
      </c>
      <c r="E182" s="19"/>
      <c r="F182" s="17"/>
      <c r="G182" s="19" t="s">
        <v>674</v>
      </c>
      <c r="H182" s="19" t="s">
        <v>675</v>
      </c>
      <c r="I182" s="19" t="s">
        <v>159</v>
      </c>
      <c r="J182" s="19" t="s">
        <v>14</v>
      </c>
    </row>
    <row r="183" spans="1:10" ht="15.6" x14ac:dyDescent="0.3">
      <c r="A183" s="9"/>
      <c r="B183" s="19">
        <v>186</v>
      </c>
      <c r="C183" s="20"/>
      <c r="D183" s="19" t="s">
        <v>11</v>
      </c>
      <c r="E183" s="19"/>
      <c r="F183" s="17"/>
      <c r="G183" s="19" t="s">
        <v>676</v>
      </c>
      <c r="H183" s="19" t="s">
        <v>677</v>
      </c>
      <c r="I183" s="19" t="s">
        <v>678</v>
      </c>
      <c r="J183" s="19" t="s">
        <v>14</v>
      </c>
    </row>
    <row r="184" spans="1:10" ht="62.4" x14ac:dyDescent="0.3">
      <c r="A184" s="9"/>
      <c r="B184" s="19">
        <v>187</v>
      </c>
      <c r="C184" s="20"/>
      <c r="D184" s="19" t="s">
        <v>11</v>
      </c>
      <c r="E184" s="19"/>
      <c r="F184" s="17"/>
      <c r="G184" s="19" t="s">
        <v>679</v>
      </c>
      <c r="H184" s="19" t="s">
        <v>680</v>
      </c>
      <c r="I184" s="19" t="s">
        <v>388</v>
      </c>
      <c r="J184" s="19" t="s">
        <v>14</v>
      </c>
    </row>
    <row r="185" spans="1:10" ht="46.8" x14ac:dyDescent="0.3">
      <c r="A185" s="9"/>
      <c r="B185" s="19">
        <v>188</v>
      </c>
      <c r="C185" s="20"/>
      <c r="D185" s="19" t="s">
        <v>11</v>
      </c>
      <c r="E185" s="19"/>
      <c r="F185" s="17"/>
      <c r="G185" s="19" t="s">
        <v>681</v>
      </c>
      <c r="H185" s="19" t="s">
        <v>682</v>
      </c>
      <c r="I185" s="19" t="s">
        <v>564</v>
      </c>
      <c r="J185" s="19" t="s">
        <v>14</v>
      </c>
    </row>
    <row r="186" spans="1:10" ht="109.2" x14ac:dyDescent="0.3">
      <c r="A186" s="9"/>
      <c r="B186" s="19">
        <v>189</v>
      </c>
      <c r="C186" s="20"/>
      <c r="D186" s="19" t="s">
        <v>11</v>
      </c>
      <c r="E186" s="19"/>
      <c r="F186" s="17"/>
      <c r="G186" s="19" t="s">
        <v>683</v>
      </c>
      <c r="H186" s="19" t="s">
        <v>684</v>
      </c>
      <c r="I186" s="19" t="s">
        <v>554</v>
      </c>
      <c r="J186" s="19" t="s">
        <v>14</v>
      </c>
    </row>
    <row r="187" spans="1:10" ht="46.8" x14ac:dyDescent="0.3">
      <c r="A187" s="9"/>
      <c r="B187" s="19">
        <v>190</v>
      </c>
      <c r="C187" s="20"/>
      <c r="D187" s="19" t="s">
        <v>11</v>
      </c>
      <c r="E187" s="19"/>
      <c r="F187" s="17"/>
      <c r="G187" s="19" t="s">
        <v>685</v>
      </c>
      <c r="H187" s="19" t="s">
        <v>686</v>
      </c>
      <c r="I187" s="19" t="s">
        <v>687</v>
      </c>
      <c r="J187" s="19" t="s">
        <v>14</v>
      </c>
    </row>
    <row r="188" spans="1:10" ht="62.4" x14ac:dyDescent="0.3">
      <c r="A188" s="9"/>
      <c r="B188" s="19">
        <v>191</v>
      </c>
      <c r="C188" s="20"/>
      <c r="D188" s="19" t="s">
        <v>11</v>
      </c>
      <c r="E188" s="19"/>
      <c r="F188" s="17"/>
      <c r="G188" s="19" t="s">
        <v>688</v>
      </c>
      <c r="H188" s="19" t="s">
        <v>551</v>
      </c>
      <c r="I188" s="19" t="s">
        <v>155</v>
      </c>
      <c r="J188" s="19" t="s">
        <v>14</v>
      </c>
    </row>
    <row r="189" spans="1:10" ht="15.6" x14ac:dyDescent="0.3">
      <c r="A189" s="9"/>
      <c r="B189" s="19">
        <v>192</v>
      </c>
      <c r="C189" s="20"/>
      <c r="D189" s="19" t="s">
        <v>11</v>
      </c>
      <c r="E189" s="19"/>
      <c r="F189" s="17"/>
      <c r="G189" s="19" t="s">
        <v>689</v>
      </c>
      <c r="H189" s="19" t="s">
        <v>690</v>
      </c>
      <c r="I189" s="19" t="s">
        <v>388</v>
      </c>
      <c r="J189" s="19" t="s">
        <v>14</v>
      </c>
    </row>
    <row r="190" spans="1:10" ht="46.8" x14ac:dyDescent="0.3">
      <c r="A190" s="9"/>
      <c r="B190" s="19">
        <v>193</v>
      </c>
      <c r="C190" s="20"/>
      <c r="D190" s="19" t="s">
        <v>11</v>
      </c>
      <c r="E190" s="19"/>
      <c r="F190" s="17"/>
      <c r="G190" s="19" t="s">
        <v>691</v>
      </c>
      <c r="H190" s="19" t="s">
        <v>692</v>
      </c>
      <c r="I190" s="19" t="s">
        <v>693</v>
      </c>
      <c r="J190" s="19" t="s">
        <v>14</v>
      </c>
    </row>
    <row r="191" spans="1:10" ht="78" x14ac:dyDescent="0.3">
      <c r="A191" s="9"/>
      <c r="B191" s="19">
        <v>194</v>
      </c>
      <c r="C191" s="20"/>
      <c r="D191" s="19" t="s">
        <v>11</v>
      </c>
      <c r="E191" s="19"/>
      <c r="F191" s="17"/>
      <c r="G191" s="19" t="s">
        <v>694</v>
      </c>
      <c r="H191" s="19" t="s">
        <v>695</v>
      </c>
      <c r="I191" s="19" t="s">
        <v>696</v>
      </c>
      <c r="J191" s="19" t="s">
        <v>14</v>
      </c>
    </row>
    <row r="192" spans="1:10" ht="31.2" x14ac:dyDescent="0.3">
      <c r="A192" s="9"/>
      <c r="B192" s="19">
        <v>195</v>
      </c>
      <c r="C192" s="20"/>
      <c r="D192" s="19" t="s">
        <v>11</v>
      </c>
      <c r="E192" s="19"/>
      <c r="F192" s="17"/>
      <c r="G192" s="19" t="s">
        <v>697</v>
      </c>
      <c r="H192" s="19" t="s">
        <v>698</v>
      </c>
      <c r="I192" s="19" t="s">
        <v>699</v>
      </c>
      <c r="J192" s="19" t="s">
        <v>14</v>
      </c>
    </row>
    <row r="193" spans="1:10" ht="46.8" x14ac:dyDescent="0.3">
      <c r="A193" s="9"/>
      <c r="B193" s="19">
        <v>196</v>
      </c>
      <c r="C193" s="20"/>
      <c r="D193" s="19" t="s">
        <v>11</v>
      </c>
      <c r="E193" s="19"/>
      <c r="F193" s="17"/>
      <c r="G193" s="19" t="s">
        <v>700</v>
      </c>
      <c r="H193" s="19" t="s">
        <v>701</v>
      </c>
      <c r="I193" s="19" t="s">
        <v>155</v>
      </c>
      <c r="J193" s="19" t="s">
        <v>14</v>
      </c>
    </row>
    <row r="194" spans="1:10" ht="46.8" x14ac:dyDescent="0.3">
      <c r="A194" s="9"/>
      <c r="B194" s="19">
        <v>197</v>
      </c>
      <c r="C194" s="20"/>
      <c r="D194" s="19" t="s">
        <v>11</v>
      </c>
      <c r="E194" s="19"/>
      <c r="F194" s="17"/>
      <c r="G194" s="19" t="s">
        <v>702</v>
      </c>
      <c r="H194" s="19" t="s">
        <v>703</v>
      </c>
      <c r="I194" s="19" t="s">
        <v>704</v>
      </c>
      <c r="J194" s="19" t="s">
        <v>14</v>
      </c>
    </row>
    <row r="195" spans="1:10" ht="62.4" x14ac:dyDescent="0.3">
      <c r="A195" s="9"/>
      <c r="B195" s="19">
        <v>198</v>
      </c>
      <c r="C195" s="20"/>
      <c r="D195" s="19" t="s">
        <v>11</v>
      </c>
      <c r="E195" s="19"/>
      <c r="F195" s="17"/>
      <c r="G195" s="19" t="s">
        <v>702</v>
      </c>
      <c r="H195" s="19" t="s">
        <v>705</v>
      </c>
      <c r="I195" s="19" t="s">
        <v>706</v>
      </c>
      <c r="J195" s="19" t="s">
        <v>14</v>
      </c>
    </row>
    <row r="196" spans="1:10" ht="109.2" x14ac:dyDescent="0.3">
      <c r="A196" s="9"/>
      <c r="B196" s="19">
        <v>199</v>
      </c>
      <c r="C196" s="20"/>
      <c r="D196" s="19" t="s">
        <v>11</v>
      </c>
      <c r="E196" s="19"/>
      <c r="F196" s="17"/>
      <c r="G196" s="19" t="s">
        <v>503</v>
      </c>
      <c r="H196" s="19" t="s">
        <v>707</v>
      </c>
      <c r="I196" s="19" t="s">
        <v>708</v>
      </c>
      <c r="J196" s="19" t="s">
        <v>14</v>
      </c>
    </row>
    <row r="197" spans="1:10" ht="46.8" x14ac:dyDescent="0.3">
      <c r="A197" s="9"/>
      <c r="B197" s="19">
        <v>200</v>
      </c>
      <c r="C197" s="20"/>
      <c r="D197" s="19" t="s">
        <v>11</v>
      </c>
      <c r="E197" s="19"/>
      <c r="F197" s="17"/>
      <c r="G197" s="19" t="s">
        <v>709</v>
      </c>
      <c r="H197" s="19" t="s">
        <v>710</v>
      </c>
      <c r="I197" s="19" t="s">
        <v>547</v>
      </c>
      <c r="J197" s="19" t="s">
        <v>14</v>
      </c>
    </row>
    <row r="198" spans="1:10" ht="46.8" x14ac:dyDescent="0.3">
      <c r="A198" s="9"/>
      <c r="B198" s="19">
        <v>201</v>
      </c>
      <c r="C198" s="20"/>
      <c r="D198" s="19" t="s">
        <v>11</v>
      </c>
      <c r="E198" s="19"/>
      <c r="F198" s="17"/>
      <c r="G198" s="19" t="s">
        <v>711</v>
      </c>
      <c r="H198" s="19" t="s">
        <v>712</v>
      </c>
      <c r="I198" s="19" t="s">
        <v>547</v>
      </c>
      <c r="J198" s="19" t="s">
        <v>14</v>
      </c>
    </row>
    <row r="199" spans="1:10" ht="31.2" x14ac:dyDescent="0.3">
      <c r="A199" s="9"/>
      <c r="B199" s="19">
        <v>202</v>
      </c>
      <c r="C199" s="20"/>
      <c r="D199" s="19" t="s">
        <v>11</v>
      </c>
      <c r="E199" s="19"/>
      <c r="F199" s="17"/>
      <c r="G199" s="19" t="s">
        <v>522</v>
      </c>
      <c r="H199" s="19" t="s">
        <v>713</v>
      </c>
      <c r="I199" s="19" t="s">
        <v>714</v>
      </c>
      <c r="J199" s="19" t="s">
        <v>14</v>
      </c>
    </row>
    <row r="200" spans="1:10" ht="31.2" x14ac:dyDescent="0.3">
      <c r="A200" s="9"/>
      <c r="B200" s="19">
        <v>203</v>
      </c>
      <c r="C200" s="20"/>
      <c r="D200" s="19" t="s">
        <v>11</v>
      </c>
      <c r="E200" s="19"/>
      <c r="F200" s="17"/>
      <c r="G200" s="19" t="s">
        <v>715</v>
      </c>
      <c r="H200" s="19" t="s">
        <v>362</v>
      </c>
      <c r="I200" s="19" t="s">
        <v>716</v>
      </c>
      <c r="J200" s="19" t="s">
        <v>14</v>
      </c>
    </row>
    <row r="201" spans="1:10" ht="31.2" x14ac:dyDescent="0.3">
      <c r="A201" s="9"/>
      <c r="B201" s="19">
        <v>204</v>
      </c>
      <c r="C201" s="20"/>
      <c r="D201" s="19" t="s">
        <v>11</v>
      </c>
      <c r="E201" s="19"/>
      <c r="F201" s="17"/>
      <c r="G201" s="19" t="s">
        <v>717</v>
      </c>
      <c r="H201" s="19" t="s">
        <v>362</v>
      </c>
      <c r="I201" s="19" t="s">
        <v>480</v>
      </c>
      <c r="J201" s="19" t="s">
        <v>14</v>
      </c>
    </row>
  </sheetData>
  <autoFilter ref="A2:J201" xr:uid="{00000000-0001-0000-0000-000000000000}"/>
  <mergeCells count="2">
    <mergeCell ref="B1:J1"/>
    <mergeCell ref="A3:J3"/>
  </mergeCells>
  <phoneticPr fontId="7" type="noConversion"/>
  <conditionalFormatting sqref="C4:C201">
    <cfRule type="containsText" dxfId="20" priority="3" operator="containsText" text="T3">
      <formula>NOT(ISERROR(SEARCH("T3",C4)))</formula>
    </cfRule>
    <cfRule type="containsText" dxfId="19" priority="4" operator="containsText" text="T2">
      <formula>NOT(ISERROR(SEARCH("T2",C4)))</formula>
    </cfRule>
    <cfRule type="containsText" dxfId="18" priority="5" operator="containsText" text="T1">
      <formula>NOT(ISERROR(SEARCH("T1",C4)))</formula>
    </cfRule>
  </conditionalFormatting>
  <conditionalFormatting sqref="D4:F201">
    <cfRule type="containsText" dxfId="1" priority="33" operator="containsText" text="Structurant">
      <formula>NOT(ISERROR(SEARCH("Structurant",D4)))</formula>
    </cfRule>
    <cfRule type="containsText" dxfId="0" priority="34" operator="containsText" text="Saturant">
      <formula>NOT(ISERROR(SEARCH("Saturant",D4)))</formula>
    </cfRule>
  </conditionalFormatting>
  <dataValidations count="1">
    <dataValidation type="list" allowBlank="1" showErrorMessage="1" sqref="A4:A8" xr:uid="{23AAEC84-8075-41EB-B331-2338D78AC2F9}">
      <formula1>"❌,✅"</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2" id="{220F9D26-169F-48E5-83D1-24487D400B9C}">
            <xm:f>Applicatifs!$C$5="Non"</xm:f>
            <x14:dxf>
              <font>
                <strike/>
              </font>
              <fill>
                <patternFill>
                  <bgColor theme="2"/>
                </patternFill>
              </fill>
            </x14:dxf>
          </x14:cfRule>
          <xm:sqref>C6:I9</xm:sqref>
        </x14:conditionalFormatting>
        <x14:conditionalFormatting xmlns:xm="http://schemas.microsoft.com/office/excel/2006/main">
          <x14:cfRule type="expression" priority="16" id="{FCDBAE5E-CEC6-4F06-B0A1-A61B8E1BFD30}">
            <xm:f>Applicatifs!$C$6="Non"</xm:f>
            <x14:dxf>
              <font>
                <strike/>
              </font>
              <fill>
                <patternFill>
                  <bgColor theme="2"/>
                </patternFill>
              </fill>
            </x14:dxf>
          </x14:cfRule>
          <xm:sqref>C10:I10 C18:I18</xm:sqref>
        </x14:conditionalFormatting>
        <x14:conditionalFormatting xmlns:xm="http://schemas.microsoft.com/office/excel/2006/main">
          <x14:cfRule type="expression" priority="1" id="{15F7A8C3-CE54-4B2E-A6EA-AAF10658C840}">
            <xm:f>Applicatifs!$C$9="Non"</xm:f>
            <x14:dxf>
              <font>
                <strike/>
              </font>
              <fill>
                <patternFill>
                  <bgColor theme="2"/>
                </patternFill>
              </fill>
            </x14:dxf>
          </x14:cfRule>
          <xm:sqref>C14:I17</xm:sqref>
        </x14:conditionalFormatting>
        <x14:conditionalFormatting xmlns:xm="http://schemas.microsoft.com/office/excel/2006/main">
          <x14:cfRule type="expression" priority="21" id="{114728F2-A744-4A68-A5D3-AF0B58C7D2E5}">
            <xm:f>Applicatifs!$C$10="Non"</xm:f>
            <x14:dxf>
              <font>
                <strike/>
              </font>
              <fill>
                <patternFill>
                  <bgColor theme="2"/>
                </patternFill>
              </fill>
            </x14:dxf>
          </x14:cfRule>
          <xm:sqref>C19:I19</xm:sqref>
        </x14:conditionalFormatting>
        <x14:conditionalFormatting xmlns:xm="http://schemas.microsoft.com/office/excel/2006/main">
          <x14:cfRule type="expression" priority="30" id="{91F501B8-946D-45C4-AFC9-E5600AF81A0B}">
            <xm:f>Applicatifs!$B$21="Non"</xm:f>
            <x14:dxf>
              <font>
                <strike/>
              </font>
              <fill>
                <patternFill>
                  <bgColor theme="2"/>
                </patternFill>
              </fill>
            </x14:dxf>
          </x14:cfRule>
          <xm:sqref>C23:I23</xm:sqref>
        </x14:conditionalFormatting>
        <x14:conditionalFormatting xmlns:xm="http://schemas.microsoft.com/office/excel/2006/main">
          <x14:cfRule type="expression" priority="18" id="{76FCA373-AB77-4023-BB50-021D1C58D568}">
            <xm:f>Applicatifs!$C$11="Non"</xm:f>
            <x14:dxf>
              <font>
                <strike/>
              </font>
              <fill>
                <patternFill>
                  <bgColor theme="2"/>
                </patternFill>
              </fill>
            </x14:dxf>
          </x14:cfRule>
          <xm:sqref>C27:I27 C125:I126</xm:sqref>
        </x14:conditionalFormatting>
        <x14:conditionalFormatting xmlns:xm="http://schemas.microsoft.com/office/excel/2006/main">
          <x14:cfRule type="expression" priority="25" id="{86AE45FD-3F08-46F4-89C5-BBA0BB7397B0}">
            <xm:f>Applicatifs!$C$12="Non"</xm:f>
            <x14:dxf>
              <font>
                <strike/>
              </font>
              <fill>
                <patternFill>
                  <bgColor theme="2"/>
                </patternFill>
              </fill>
            </x14:dxf>
          </x14:cfRule>
          <xm:sqref>C30:I30 C32:I32</xm:sqref>
        </x14:conditionalFormatting>
        <x14:conditionalFormatting xmlns:xm="http://schemas.microsoft.com/office/excel/2006/main">
          <x14:cfRule type="expression" priority="17" id="{2DC2C0AD-3BC8-489F-BA94-6BC999E57C0B}">
            <xm:f>Applicatifs!$C$7="Non"</xm:f>
            <x14:dxf>
              <font>
                <strike/>
              </font>
              <fill>
                <patternFill>
                  <bgColor theme="2"/>
                </patternFill>
              </fill>
            </x14:dxf>
          </x14:cfRule>
          <xm:sqref>C42:I42 C99:I99</xm:sqref>
        </x14:conditionalFormatting>
        <x14:conditionalFormatting xmlns:xm="http://schemas.microsoft.com/office/excel/2006/main">
          <x14:cfRule type="expression" priority="28" id="{A92A4FDC-742A-4629-8F75-81A815160F6A}">
            <xm:f>Applicatifs!$C$4="Non"</xm:f>
            <x14:dxf>
              <font>
                <strike/>
              </font>
              <fill>
                <patternFill>
                  <bgColor theme="2"/>
                </patternFill>
              </fill>
            </x14:dxf>
          </x14:cfRule>
          <xm:sqref>C51:I51</xm:sqref>
        </x14:conditionalFormatting>
        <x14:conditionalFormatting xmlns:xm="http://schemas.microsoft.com/office/excel/2006/main">
          <x14:cfRule type="expression" priority="29" id="{FC48FDE5-4BBE-48EB-89B8-69F68E67B30F}">
            <xm:f>Applicatifs!$C$8="Non"</xm:f>
            <x14:dxf>
              <font>
                <strike/>
              </font>
              <fill>
                <patternFill>
                  <bgColor theme="2"/>
                </patternFill>
              </fill>
            </x14:dxf>
          </x14:cfRule>
          <xm:sqref>C60:I60</xm:sqref>
        </x14:conditionalFormatting>
        <x14:conditionalFormatting xmlns:xm="http://schemas.microsoft.com/office/excel/2006/main">
          <x14:cfRule type="expression" priority="22" id="{1E0EB1A6-E216-48F7-BAD4-142243669B97}">
            <xm:f>Applicatifs!$C$13="Non"</xm:f>
            <x14:dxf>
              <font>
                <strike/>
              </font>
              <fill>
                <patternFill>
                  <bgColor theme="2"/>
                </patternFill>
              </fill>
            </x14:dxf>
          </x14:cfRule>
          <xm:sqref>C61:I61 C65:I65</xm:sqref>
        </x14:conditionalFormatting>
        <x14:conditionalFormatting xmlns:xm="http://schemas.microsoft.com/office/excel/2006/main">
          <x14:cfRule type="expression" priority="19" id="{1345064B-2588-4472-852D-20B1BD156987}">
            <xm:f>Applicatifs!$C$14="Non"</xm:f>
            <x14:dxf>
              <font>
                <strike/>
              </font>
              <fill>
                <patternFill>
                  <bgColor theme="2"/>
                </patternFill>
              </fill>
            </x14:dxf>
          </x14:cfRule>
          <xm:sqref>C78:I78</xm:sqref>
        </x14:conditionalFormatting>
        <x14:conditionalFormatting xmlns:xm="http://schemas.microsoft.com/office/excel/2006/main">
          <x14:cfRule type="expression" priority="26" id="{0D814403-7C62-4470-8EBE-BC4EDE990025}">
            <xm:f>Applicatifs!$C$15="Non"</xm:f>
            <x14:dxf>
              <font>
                <strike/>
              </font>
              <fill>
                <patternFill>
                  <bgColor theme="2"/>
                </patternFill>
              </fill>
            </x14:dxf>
          </x14:cfRule>
          <xm:sqref>C85:I85</xm:sqref>
        </x14:conditionalFormatting>
        <x14:conditionalFormatting xmlns:xm="http://schemas.microsoft.com/office/excel/2006/main">
          <x14:cfRule type="expression" priority="20" id="{CC93BB87-3723-44B7-A145-8B363D9C6A0E}">
            <xm:f>Applicatifs!$C$16="Non"</xm:f>
            <x14:dxf>
              <font>
                <strike/>
              </font>
              <fill>
                <patternFill>
                  <bgColor theme="2"/>
                </patternFill>
              </fill>
            </x14:dxf>
          </x14:cfRule>
          <xm:sqref>C95:I95</xm:sqref>
        </x14:conditionalFormatting>
        <x14:conditionalFormatting xmlns:xm="http://schemas.microsoft.com/office/excel/2006/main">
          <x14:cfRule type="expression" priority="23" id="{6B5F271B-2E3E-4C6F-9DF4-13ECACF420E1}">
            <xm:f>Applicatifs!$C$17="Non"</xm:f>
            <x14:dxf>
              <font>
                <strike/>
              </font>
              <fill>
                <patternFill>
                  <bgColor theme="2"/>
                </patternFill>
              </fill>
            </x14:dxf>
          </x14:cfRule>
          <xm:sqref>C100:I100</xm:sqref>
        </x14:conditionalFormatting>
        <x14:conditionalFormatting xmlns:xm="http://schemas.microsoft.com/office/excel/2006/main">
          <x14:cfRule type="expression" priority="31" id="{D0334D9A-D19B-497F-95FC-F62C71475F67}">
            <xm:f>Applicatifs!$B$20="Non"</xm:f>
            <x14:dxf>
              <font>
                <strike/>
              </font>
              <fill>
                <patternFill>
                  <bgColor theme="2"/>
                </patternFill>
              </fill>
            </x14:dxf>
          </x14:cfRule>
          <xm:sqref>C4:J4 D5:D201 F5:F201 J5:J201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113D4C2C-EC99-4B48-8B9F-BE817CC8CD5D}">
          <x14:formula1>
            <xm:f>Applicatifs!$F$3:$F$6</xm:f>
          </x14:formula1>
          <xm:sqref>J4:J201</xm:sqref>
        </x14:dataValidation>
        <x14:dataValidation type="list" allowBlank="1" showInputMessage="1" showErrorMessage="1" xr:uid="{325F7CF0-F27D-4E04-BD71-103D4E40E111}">
          <x14:formula1>
            <xm:f>Applicatifs!$G$3:$G$4</xm:f>
          </x14:formula1>
          <xm:sqref>D4:D201</xm:sqref>
        </x14:dataValidation>
        <x14:dataValidation type="list" allowBlank="1" showInputMessage="1" showErrorMessage="1" xr:uid="{6FA4A3FF-8A4A-440D-9BCF-3A7905112063}">
          <x14:formula1>
            <xm:f>Applicatifs!$H$3:$H$6</xm:f>
          </x14:formula1>
          <xm:sqref>F4:F201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A744F-D20A-4733-8314-E07B45D8D5ED}">
  <dimension ref="A1:K53"/>
  <sheetViews>
    <sheetView topLeftCell="C21" zoomScaleNormal="100" workbookViewId="0">
      <selection activeCell="I31" sqref="I31"/>
    </sheetView>
  </sheetViews>
  <sheetFormatPr baseColWidth="10" defaultColWidth="11.44140625" defaultRowHeight="14.4" x14ac:dyDescent="0.3"/>
  <cols>
    <col min="1" max="4" width="60.6640625" customWidth="1"/>
    <col min="6" max="6" width="18.109375" bestFit="1" customWidth="1"/>
    <col min="7" max="7" width="12.33203125" bestFit="1" customWidth="1"/>
    <col min="8" max="8" width="22.88671875" bestFit="1" customWidth="1"/>
    <col min="9" max="9" width="82.5546875" bestFit="1" customWidth="1"/>
  </cols>
  <sheetData>
    <row r="1" spans="1:11" ht="80.099999999999994" customHeight="1" thickBot="1" x14ac:dyDescent="0.35">
      <c r="A1" s="71"/>
      <c r="B1" s="71"/>
      <c r="C1" s="71"/>
      <c r="D1" s="71"/>
      <c r="F1" s="68" t="s">
        <v>718</v>
      </c>
      <c r="G1" s="68"/>
      <c r="H1" s="68"/>
      <c r="I1" s="68"/>
      <c r="J1" s="68"/>
      <c r="K1" s="68"/>
    </row>
    <row r="2" spans="1:11" ht="15" thickBot="1" x14ac:dyDescent="0.35">
      <c r="A2" s="5"/>
      <c r="B2" s="5"/>
      <c r="C2" s="5"/>
      <c r="D2" s="5"/>
      <c r="F2" s="13" t="s">
        <v>7</v>
      </c>
      <c r="G2" s="14" t="s">
        <v>719</v>
      </c>
      <c r="H2" s="41" t="s">
        <v>4</v>
      </c>
      <c r="I2" s="41" t="s">
        <v>720</v>
      </c>
      <c r="J2" s="14"/>
      <c r="K2" s="15"/>
    </row>
    <row r="3" spans="1:11" ht="23.4" x14ac:dyDescent="0.3">
      <c r="A3" s="1" t="s">
        <v>721</v>
      </c>
      <c r="B3" s="1" t="s">
        <v>722</v>
      </c>
      <c r="C3" s="1" t="s">
        <v>723</v>
      </c>
      <c r="D3" s="1" t="s">
        <v>724</v>
      </c>
      <c r="F3" s="10" t="s">
        <v>14</v>
      </c>
      <c r="G3" s="11" t="s">
        <v>11</v>
      </c>
      <c r="H3" s="42" t="s">
        <v>13</v>
      </c>
      <c r="I3" s="9" t="s">
        <v>32</v>
      </c>
      <c r="J3" s="43"/>
      <c r="K3" s="12"/>
    </row>
    <row r="4" spans="1:11" ht="18" x14ac:dyDescent="0.3">
      <c r="A4" s="2" t="s">
        <v>725</v>
      </c>
      <c r="B4" s="2" t="s">
        <v>726</v>
      </c>
      <c r="C4" s="2" t="s">
        <v>727</v>
      </c>
      <c r="D4" s="2"/>
      <c r="F4" s="7" t="s">
        <v>320</v>
      </c>
      <c r="G4" s="8" t="s">
        <v>43</v>
      </c>
      <c r="H4" s="42" t="s">
        <v>38</v>
      </c>
      <c r="I4" s="9" t="s">
        <v>20</v>
      </c>
      <c r="J4" s="44"/>
      <c r="K4" s="9"/>
    </row>
    <row r="5" spans="1:11" ht="18" x14ac:dyDescent="0.3">
      <c r="A5" s="2" t="s">
        <v>728</v>
      </c>
      <c r="B5" s="2" t="s">
        <v>729</v>
      </c>
      <c r="C5" s="2" t="s">
        <v>727</v>
      </c>
      <c r="D5" s="2"/>
      <c r="F5" s="8" t="s">
        <v>41</v>
      </c>
      <c r="G5" s="8"/>
      <c r="H5" s="42" t="s">
        <v>155</v>
      </c>
      <c r="I5" s="9" t="s">
        <v>52</v>
      </c>
      <c r="J5" s="44"/>
      <c r="K5" s="9"/>
    </row>
    <row r="6" spans="1:11" ht="18" x14ac:dyDescent="0.3">
      <c r="A6" s="2" t="s">
        <v>730</v>
      </c>
      <c r="B6" s="2" t="s">
        <v>731</v>
      </c>
      <c r="C6" s="2" t="s">
        <v>727</v>
      </c>
      <c r="D6" s="2"/>
      <c r="F6" s="8" t="s">
        <v>732</v>
      </c>
      <c r="G6" s="8"/>
      <c r="H6" s="42" t="s">
        <v>160</v>
      </c>
      <c r="I6" s="9" t="s">
        <v>28</v>
      </c>
      <c r="J6" s="44"/>
      <c r="K6" s="9"/>
    </row>
    <row r="7" spans="1:11" ht="18" x14ac:dyDescent="0.3">
      <c r="A7" s="2" t="s">
        <v>733</v>
      </c>
      <c r="B7" s="2" t="s">
        <v>734</v>
      </c>
      <c r="C7" s="2" t="s">
        <v>727</v>
      </c>
      <c r="D7" s="2"/>
      <c r="H7" s="42" t="s">
        <v>21</v>
      </c>
      <c r="I7" s="9" t="s">
        <v>65</v>
      </c>
    </row>
    <row r="8" spans="1:11" ht="18" x14ac:dyDescent="0.3">
      <c r="A8" s="2" t="s">
        <v>735</v>
      </c>
      <c r="B8" s="2" t="s">
        <v>735</v>
      </c>
      <c r="C8" s="2" t="s">
        <v>727</v>
      </c>
      <c r="D8" s="2"/>
      <c r="H8" s="42" t="s">
        <v>35</v>
      </c>
      <c r="I8" s="9" t="s">
        <v>48</v>
      </c>
    </row>
    <row r="9" spans="1:11" ht="18" x14ac:dyDescent="0.3">
      <c r="A9" s="2" t="s">
        <v>736</v>
      </c>
      <c r="B9" s="2" t="s">
        <v>736</v>
      </c>
      <c r="C9" s="2" t="s">
        <v>727</v>
      </c>
      <c r="D9" s="2"/>
      <c r="H9" s="42" t="s">
        <v>737</v>
      </c>
      <c r="I9" s="9" t="s">
        <v>60</v>
      </c>
    </row>
    <row r="10" spans="1:11" ht="18" x14ac:dyDescent="0.3">
      <c r="A10" s="2" t="s">
        <v>738</v>
      </c>
      <c r="B10" s="2" t="s">
        <v>739</v>
      </c>
      <c r="C10" s="2" t="s">
        <v>727</v>
      </c>
      <c r="D10" s="2"/>
      <c r="H10" s="42" t="s">
        <v>740</v>
      </c>
      <c r="I10" s="9" t="s">
        <v>16</v>
      </c>
    </row>
    <row r="11" spans="1:11" ht="18" x14ac:dyDescent="0.3">
      <c r="A11" s="2" t="s">
        <v>741</v>
      </c>
      <c r="B11" s="2" t="s">
        <v>741</v>
      </c>
      <c r="C11" s="2" t="s">
        <v>727</v>
      </c>
      <c r="D11" s="2"/>
      <c r="H11" s="48" t="s">
        <v>85</v>
      </c>
      <c r="I11" s="9" t="s">
        <v>67</v>
      </c>
    </row>
    <row r="12" spans="1:11" ht="18" x14ac:dyDescent="0.3">
      <c r="A12" s="2" t="s">
        <v>742</v>
      </c>
      <c r="B12" s="2" t="s">
        <v>742</v>
      </c>
      <c r="C12" s="2" t="s">
        <v>727</v>
      </c>
      <c r="D12" s="2"/>
      <c r="I12" s="9" t="s">
        <v>12</v>
      </c>
    </row>
    <row r="13" spans="1:11" ht="18" x14ac:dyDescent="0.3">
      <c r="A13" s="2" t="s">
        <v>743</v>
      </c>
      <c r="B13" s="2" t="s">
        <v>744</v>
      </c>
      <c r="C13" s="2" t="s">
        <v>727</v>
      </c>
      <c r="D13" s="2"/>
      <c r="I13" s="9" t="s">
        <v>77</v>
      </c>
    </row>
    <row r="14" spans="1:11" ht="18" x14ac:dyDescent="0.3">
      <c r="A14" s="2" t="s">
        <v>745</v>
      </c>
      <c r="B14" s="2" t="s">
        <v>745</v>
      </c>
      <c r="C14" s="2" t="s">
        <v>727</v>
      </c>
      <c r="D14" s="2"/>
      <c r="I14" s="9" t="s">
        <v>71</v>
      </c>
    </row>
    <row r="15" spans="1:11" ht="18" x14ac:dyDescent="0.3">
      <c r="A15" s="2" t="s">
        <v>746</v>
      </c>
      <c r="B15" s="2" t="s">
        <v>746</v>
      </c>
      <c r="C15" s="2" t="s">
        <v>727</v>
      </c>
      <c r="D15" s="2"/>
      <c r="I15" s="9" t="s">
        <v>747</v>
      </c>
    </row>
    <row r="16" spans="1:11" ht="18" x14ac:dyDescent="0.3">
      <c r="A16" s="2" t="s">
        <v>748</v>
      </c>
      <c r="B16" s="2" t="s">
        <v>749</v>
      </c>
      <c r="C16" s="2" t="s">
        <v>727</v>
      </c>
      <c r="D16" s="2"/>
      <c r="I16" s="9" t="s">
        <v>278</v>
      </c>
    </row>
    <row r="17" spans="1:9" ht="18" x14ac:dyDescent="0.3">
      <c r="A17" s="2" t="s">
        <v>750</v>
      </c>
      <c r="B17" s="2" t="s">
        <v>751</v>
      </c>
      <c r="C17" s="2" t="s">
        <v>727</v>
      </c>
      <c r="D17" s="2"/>
      <c r="I17" s="9" t="s">
        <v>24</v>
      </c>
    </row>
    <row r="18" spans="1:9" x14ac:dyDescent="0.3">
      <c r="I18" s="9" t="s">
        <v>139</v>
      </c>
    </row>
    <row r="19" spans="1:9" ht="23.4" x14ac:dyDescent="0.3">
      <c r="A19" s="4" t="s">
        <v>752</v>
      </c>
      <c r="B19" s="4" t="s">
        <v>723</v>
      </c>
      <c r="C19" s="72" t="s">
        <v>724</v>
      </c>
      <c r="D19" s="73"/>
      <c r="I19" s="9" t="s">
        <v>135</v>
      </c>
    </row>
    <row r="20" spans="1:9" ht="18" x14ac:dyDescent="0.3">
      <c r="A20" s="3" t="s">
        <v>753</v>
      </c>
      <c r="B20" s="3" t="s">
        <v>727</v>
      </c>
      <c r="C20" s="69"/>
      <c r="D20" s="70"/>
      <c r="I20" s="9" t="s">
        <v>30</v>
      </c>
    </row>
    <row r="21" spans="1:9" ht="18" x14ac:dyDescent="0.3">
      <c r="A21" s="3" t="s">
        <v>754</v>
      </c>
      <c r="B21" s="3" t="s">
        <v>727</v>
      </c>
      <c r="C21" s="69"/>
      <c r="D21" s="70"/>
      <c r="I21" s="9" t="s">
        <v>248</v>
      </c>
    </row>
    <row r="22" spans="1:9" x14ac:dyDescent="0.3">
      <c r="I22" s="9" t="s">
        <v>755</v>
      </c>
    </row>
    <row r="23" spans="1:9" ht="23.4" x14ac:dyDescent="0.3">
      <c r="A23" s="4" t="s">
        <v>756</v>
      </c>
      <c r="B23" s="4" t="s">
        <v>724</v>
      </c>
      <c r="C23" s="72" t="s">
        <v>6</v>
      </c>
      <c r="D23" s="73"/>
      <c r="I23" s="9" t="s">
        <v>757</v>
      </c>
    </row>
    <row r="24" spans="1:9" ht="18" x14ac:dyDescent="0.3">
      <c r="A24" s="3" t="s">
        <v>758</v>
      </c>
      <c r="B24" s="3"/>
      <c r="C24" s="69" t="s">
        <v>759</v>
      </c>
      <c r="D24" s="70"/>
      <c r="G24" s="25" t="s">
        <v>130</v>
      </c>
      <c r="H24" s="24" t="s">
        <v>9</v>
      </c>
      <c r="I24" s="9" t="s">
        <v>44</v>
      </c>
    </row>
    <row r="25" spans="1:9" ht="18" x14ac:dyDescent="0.3">
      <c r="A25" s="3" t="s">
        <v>760</v>
      </c>
      <c r="B25" s="3"/>
      <c r="C25" s="69" t="s">
        <v>761</v>
      </c>
      <c r="D25" s="70"/>
      <c r="I25" s="9" t="s">
        <v>425</v>
      </c>
    </row>
    <row r="26" spans="1:9" x14ac:dyDescent="0.3">
      <c r="I26" s="9" t="s">
        <v>330</v>
      </c>
    </row>
    <row r="27" spans="1:9" x14ac:dyDescent="0.3">
      <c r="I27" s="9" t="s">
        <v>37</v>
      </c>
    </row>
    <row r="28" spans="1:9" x14ac:dyDescent="0.3">
      <c r="I28" s="9" t="s">
        <v>175</v>
      </c>
    </row>
    <row r="29" spans="1:9" x14ac:dyDescent="0.3">
      <c r="I29" s="9" t="s">
        <v>192</v>
      </c>
    </row>
    <row r="30" spans="1:9" x14ac:dyDescent="0.3">
      <c r="I30" s="9" t="s">
        <v>196</v>
      </c>
    </row>
    <row r="31" spans="1:9" x14ac:dyDescent="0.3">
      <c r="I31" s="9" t="s">
        <v>154</v>
      </c>
    </row>
    <row r="32" spans="1:9" x14ac:dyDescent="0.3">
      <c r="I32" s="9" t="s">
        <v>159</v>
      </c>
    </row>
    <row r="33" spans="9:9" x14ac:dyDescent="0.3">
      <c r="I33" s="9" t="s">
        <v>762</v>
      </c>
    </row>
    <row r="34" spans="9:9" x14ac:dyDescent="0.3">
      <c r="I34" s="9" t="s">
        <v>171</v>
      </c>
    </row>
    <row r="35" spans="9:9" x14ac:dyDescent="0.3">
      <c r="I35" s="9" t="s">
        <v>216</v>
      </c>
    </row>
    <row r="36" spans="9:9" x14ac:dyDescent="0.3">
      <c r="I36" s="9" t="s">
        <v>222</v>
      </c>
    </row>
    <row r="37" spans="9:9" x14ac:dyDescent="0.3">
      <c r="I37" s="9" t="s">
        <v>229</v>
      </c>
    </row>
    <row r="38" spans="9:9" x14ac:dyDescent="0.3">
      <c r="I38" s="9" t="s">
        <v>300</v>
      </c>
    </row>
    <row r="39" spans="9:9" x14ac:dyDescent="0.3">
      <c r="I39" s="9" t="s">
        <v>237</v>
      </c>
    </row>
    <row r="40" spans="9:9" x14ac:dyDescent="0.3">
      <c r="I40" s="9" t="s">
        <v>206</v>
      </c>
    </row>
    <row r="41" spans="9:9" x14ac:dyDescent="0.3">
      <c r="I41" s="9" t="s">
        <v>246</v>
      </c>
    </row>
    <row r="42" spans="9:9" x14ac:dyDescent="0.3">
      <c r="I42" s="9" t="s">
        <v>289</v>
      </c>
    </row>
    <row r="43" spans="9:9" x14ac:dyDescent="0.3">
      <c r="I43" s="9" t="s">
        <v>127</v>
      </c>
    </row>
    <row r="44" spans="9:9" x14ac:dyDescent="0.3">
      <c r="I44" s="9" t="s">
        <v>303</v>
      </c>
    </row>
    <row r="45" spans="9:9" x14ac:dyDescent="0.3">
      <c r="I45" s="9" t="s">
        <v>313</v>
      </c>
    </row>
    <row r="46" spans="9:9" x14ac:dyDescent="0.3">
      <c r="I46" s="9" t="s">
        <v>317</v>
      </c>
    </row>
    <row r="47" spans="9:9" x14ac:dyDescent="0.3">
      <c r="I47" s="9" t="s">
        <v>322</v>
      </c>
    </row>
    <row r="48" spans="9:9" x14ac:dyDescent="0.3">
      <c r="I48" s="9" t="s">
        <v>326</v>
      </c>
    </row>
    <row r="49" spans="9:9" x14ac:dyDescent="0.3">
      <c r="I49" s="9" t="s">
        <v>333</v>
      </c>
    </row>
    <row r="50" spans="9:9" x14ac:dyDescent="0.3">
      <c r="I50" s="9" t="s">
        <v>167</v>
      </c>
    </row>
    <row r="51" spans="9:9" x14ac:dyDescent="0.3">
      <c r="I51" s="9" t="s">
        <v>185</v>
      </c>
    </row>
    <row r="52" spans="9:9" x14ac:dyDescent="0.3">
      <c r="I52" s="9" t="s">
        <v>200</v>
      </c>
    </row>
    <row r="53" spans="9:9" x14ac:dyDescent="0.3">
      <c r="I53" s="21" t="s">
        <v>84</v>
      </c>
    </row>
  </sheetData>
  <mergeCells count="8">
    <mergeCell ref="F1:K1"/>
    <mergeCell ref="C25:D25"/>
    <mergeCell ref="C24:D24"/>
    <mergeCell ref="A1:D1"/>
    <mergeCell ref="C19:D19"/>
    <mergeCell ref="C21:D21"/>
    <mergeCell ref="C20:D20"/>
    <mergeCell ref="C23:D23"/>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showErrorMessage="1" xr:uid="{F60DFE38-ACE1-4F95-BD78-FBFBE3614093}">
          <x14:formula1>
            <xm:f>Liste!$A$2:$A$3</xm:f>
          </x14:formula1>
          <xm:sqref>C4:C17 B20:B21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30D9E-535E-407D-8027-AC7BB5B30100}">
  <dimension ref="A1:A3"/>
  <sheetViews>
    <sheetView workbookViewId="0"/>
  </sheetViews>
  <sheetFormatPr baseColWidth="10" defaultColWidth="11.44140625" defaultRowHeight="14.4" x14ac:dyDescent="0.3"/>
  <sheetData>
    <row r="1" spans="1:1" x14ac:dyDescent="0.3">
      <c r="A1" t="s">
        <v>763</v>
      </c>
    </row>
    <row r="2" spans="1:1" x14ac:dyDescent="0.3">
      <c r="A2" t="s">
        <v>727</v>
      </c>
    </row>
    <row r="3" spans="1:1" x14ac:dyDescent="0.3">
      <c r="A3" t="s">
        <v>764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420B92981CCA4286EA69446F21C2C4" ma:contentTypeVersion="3" ma:contentTypeDescription="Crée un document." ma:contentTypeScope="" ma:versionID="985bf9d431481ab8908eb092a2ed65c5">
  <xsd:schema xmlns:xsd="http://www.w3.org/2001/XMLSchema" xmlns:xs="http://www.w3.org/2001/XMLSchema" xmlns:p="http://schemas.microsoft.com/office/2006/metadata/properties" xmlns:ns2="1df0e9b8-d4c7-4866-aa0e-2cf8dd3d729c" targetNamespace="http://schemas.microsoft.com/office/2006/metadata/properties" ma:root="true" ma:fieldsID="caf50032b6e3559bcb8c64c5ca6901e2" ns2:_="">
    <xsd:import namespace="1df0e9b8-d4c7-4866-aa0e-2cf8dd3d729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f0e9b8-d4c7-4866-aa0e-2cf8dd3d72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C908A3-7730-4834-9BE8-0F99ED25FFE2}"/>
</file>

<file path=customXml/itemProps2.xml><?xml version="1.0" encoding="utf-8"?>
<ds:datastoreItem xmlns:ds="http://schemas.openxmlformats.org/officeDocument/2006/customXml" ds:itemID="{D5D9DAA9-343A-4EA8-A18C-B3DA54DCA8C9}">
  <ds:schemaRefs>
    <ds:schemaRef ds:uri="http://purl.org/dc/elements/1.1/"/>
    <ds:schemaRef ds:uri="4e8bad39-96e0-4b73-a466-433c8f40e5ae"/>
    <ds:schemaRef ds:uri="http://purl.org/dc/dcmitype/"/>
    <ds:schemaRef ds:uri="http://www.w3.org/XML/1998/namespace"/>
    <ds:schemaRef ds:uri="http://schemas.microsoft.com/office/2006/documentManagement/types"/>
    <ds:schemaRef ds:uri="61c9b4f6-5c82-455b-b916-022c0c6f2f34"/>
    <ds:schemaRef ds:uri="http://purl.org/dc/terms/"/>
    <ds:schemaRef ds:uri="http://schemas.microsoft.com/office/2006/metadata/properties"/>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A51048E0-B2A4-4155-8604-CF016A893E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Chronogramme</vt:lpstr>
      <vt:lpstr>ancien chrono</vt:lpstr>
      <vt:lpstr>Applicatifs</vt:lpstr>
      <vt:lpstr>Liste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Pawel Chmielnicki</dc:creator>
  <cp:keywords/>
  <dc:description/>
  <cp:lastModifiedBy>Auxane PACOME (FR)</cp:lastModifiedBy>
  <cp:revision/>
  <dcterms:created xsi:type="dcterms:W3CDTF">2015-06-05T18:17:20Z</dcterms:created>
  <dcterms:modified xsi:type="dcterms:W3CDTF">2024-09-19T10:28:23Z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0x01010013420B92981CCA4286EA69446F21C2C4</vt:lpwstr>
  </property>
  <property fmtid="{D5CDD505-2E9C-101B-9397-08002B2CF9AE}" pid="3" name="Order">
    <vt:r8>1700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